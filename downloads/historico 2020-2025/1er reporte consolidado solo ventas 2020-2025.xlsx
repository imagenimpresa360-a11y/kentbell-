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c1ebd30cd1a6e8/Copiloto/THE BOOS/VTAS ANUALES/"/>
    </mc:Choice>
  </mc:AlternateContent>
  <xr:revisionPtr revIDLastSave="77" documentId="8_{5B7FC13B-C015-4B2B-B90E-1A4FA49B76AE}" xr6:coauthVersionLast="47" xr6:coauthVersionMax="47" xr10:uidLastSave="{0B527DD0-0FB8-4B7B-A0D6-E20961CC6363}"/>
  <bookViews>
    <workbookView xWindow="-108" yWindow="-108" windowWidth="23256" windowHeight="12456" xr2:uid="{28216A82-C00F-4187-AB6D-BE99D3957206}"/>
  </bookViews>
  <sheets>
    <sheet name="historico 2 sedes" sheetId="1" r:id="rId1"/>
    <sheet name="resumen anual" sheetId="2" r:id="rId2"/>
    <sheet name="proyeccion" sheetId="4" r:id="rId3"/>
    <sheet name="estacionalidad" sheetId="3" r:id="rId4"/>
    <sheet name="eventos" sheetId="5" r:id="rId5"/>
    <sheet name="supuest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27" i="2"/>
  <c r="D26" i="2"/>
  <c r="D25" i="2"/>
  <c r="D24" i="2"/>
  <c r="D23" i="2"/>
  <c r="D22" i="2"/>
</calcChain>
</file>

<file path=xl/sharedStrings.xml><?xml version="1.0" encoding="utf-8"?>
<sst xmlns="http://schemas.openxmlformats.org/spreadsheetml/2006/main" count="402" uniqueCount="113">
  <si>
    <t>Sede</t>
  </si>
  <si>
    <t>Fecha</t>
  </si>
  <si>
    <t>Año</t>
  </si>
  <si>
    <t>Mes</t>
  </si>
  <si>
    <t>Ingresos_Abonos</t>
  </si>
  <si>
    <t>Origen</t>
  </si>
  <si>
    <t>Notas</t>
  </si>
  <si>
    <t>Marina</t>
  </si>
  <si>
    <t>Histórico</t>
  </si>
  <si>
    <t>pandemia</t>
  </si>
  <si>
    <t>Campanario</t>
  </si>
  <si>
    <t>Caída: salida de coach + fuga de 2 clases</t>
  </si>
  <si>
    <t>Ingreso_Total</t>
  </si>
  <si>
    <t>Promedio_Mensual</t>
  </si>
  <si>
    <t>Crecimiento_vs_Anterior</t>
  </si>
  <si>
    <t>NA</t>
  </si>
  <si>
    <t>-4.4%</t>
  </si>
  <si>
    <t>15.2%</t>
  </si>
  <si>
    <t>-13.8%</t>
  </si>
  <si>
    <t>6.8%</t>
  </si>
  <si>
    <t>Consolidado</t>
  </si>
  <si>
    <t xml:space="preserve"> </t>
  </si>
  <si>
    <t>Marina_%_vs_Promedio</t>
  </si>
  <si>
    <t>Campanario_%_vs_Promedio</t>
  </si>
  <si>
    <t>Consolidado_%_vs_Promedio</t>
  </si>
  <si>
    <t>Enero</t>
  </si>
  <si>
    <t>17.2</t>
  </si>
  <si>
    <t>14.1</t>
  </si>
  <si>
    <t>15.8</t>
  </si>
  <si>
    <t>Febrero</t>
  </si>
  <si>
    <t>-15.3</t>
  </si>
  <si>
    <t>-12.4</t>
  </si>
  <si>
    <t>-14.1</t>
  </si>
  <si>
    <t>Marzo</t>
  </si>
  <si>
    <t>5.1</t>
  </si>
  <si>
    <t>21.8</t>
  </si>
  <si>
    <t>12.5</t>
  </si>
  <si>
    <t>Abril</t>
  </si>
  <si>
    <t>-1.8</t>
  </si>
  <si>
    <t>4.9</t>
  </si>
  <si>
    <t>1.3</t>
  </si>
  <si>
    <t>Mayo</t>
  </si>
  <si>
    <t>-7.6</t>
  </si>
  <si>
    <t>7.8</t>
  </si>
  <si>
    <t>0.2</t>
  </si>
  <si>
    <t>Junio</t>
  </si>
  <si>
    <t>4.7</t>
  </si>
  <si>
    <t>-32.1</t>
  </si>
  <si>
    <t>-11.4</t>
  </si>
  <si>
    <t>Julio</t>
  </si>
  <si>
    <t>7.9</t>
  </si>
  <si>
    <t>11.6</t>
  </si>
  <si>
    <t>9.7</t>
  </si>
  <si>
    <t>Agosto</t>
  </si>
  <si>
    <t>14.5</t>
  </si>
  <si>
    <t>-5.2</t>
  </si>
  <si>
    <t>Septiembre</t>
  </si>
  <si>
    <t>-5.3</t>
  </si>
  <si>
    <t>-7.8</t>
  </si>
  <si>
    <t>-6.5</t>
  </si>
  <si>
    <t>Octubre</t>
  </si>
  <si>
    <t>17.6</t>
  </si>
  <si>
    <t>14.8</t>
  </si>
  <si>
    <t>16.3</t>
  </si>
  <si>
    <t>Noviembre</t>
  </si>
  <si>
    <t>21.2</t>
  </si>
  <si>
    <t>9.6</t>
  </si>
  <si>
    <t>15.9</t>
  </si>
  <si>
    <t>Diciembre</t>
  </si>
  <si>
    <t>9.8</t>
  </si>
  <si>
    <t>-5.1</t>
  </si>
  <si>
    <t>2.6</t>
  </si>
  <si>
    <t>Total</t>
  </si>
  <si>
    <t>Inicio de año fuerte</t>
  </si>
  <si>
    <t>Baja estacional</t>
  </si>
  <si>
    <t>Lanzamiento "12 Semanas"</t>
  </si>
  <si>
    <t>Sostenimiento</t>
  </si>
  <si>
    <t>Estable</t>
  </si>
  <si>
    <t>Campanario sensible</t>
  </si>
  <si>
    <t>Verano</t>
  </si>
  <si>
    <t>Leve caída</t>
  </si>
  <si>
    <t>Campaña "Pre-Navidad Fit"</t>
  </si>
  <si>
    <t>Pico anual</t>
  </si>
  <si>
    <t>Cierre moderado</t>
  </si>
  <si>
    <t>Total Anual</t>
  </si>
  <si>
    <t>Evento</t>
  </si>
  <si>
    <t>Impacto_Estimado</t>
  </si>
  <si>
    <t>Cierre de box competidor</t>
  </si>
  <si>
    <t>+USD $1.2M/mes (mar-abr 2023)</t>
  </si>
  <si>
    <t>Salida de coach + fuga de 2 clases</t>
  </si>
  <si>
    <t>-USD $1.1M/mes (jun-ago 2024)</t>
  </si>
  <si>
    <t>Lanzamiento nuevo plan premium</t>
  </si>
  <si>
    <t>+USD $0.8M en marzo 2025</t>
  </si>
  <si>
    <t>Lanzamiento "Desafío 12 Semanas"</t>
  </si>
  <si>
    <t>Proyección: +USD $1.5M en Q1</t>
  </si>
  <si>
    <t>Concepto</t>
  </si>
  <si>
    <t>Valor</t>
  </si>
  <si>
    <t>Justificación</t>
  </si>
  <si>
    <t>Crecimiento orgánico anual</t>
  </si>
  <si>
    <t>Promedio 2023–2025 excluyendo eventos</t>
  </si>
  <si>
    <t>Recuperación post-coach (Campanario)</t>
  </si>
  <si>
    <t>+50% del impacto perdido</t>
  </si>
  <si>
    <t>Validado por tendencia jul-dic 2025</t>
  </si>
  <si>
    <t>Estacionalidad</t>
  </si>
  <si>
    <t>Misma que 2022–2025</t>
  </si>
  <si>
    <t>Paterns consistentes en 4 años</t>
  </si>
  <si>
    <t>Inflación implícita</t>
  </si>
  <si>
    <t>Ajuste por precios 2025–2026</t>
  </si>
  <si>
    <t>Ventas Acumuladas sedes Marina y Campanario</t>
  </si>
  <si>
    <t>TOTAL VENTAS</t>
  </si>
  <si>
    <t>Pico: cierre box  competidor (feb 2023)</t>
  </si>
  <si>
    <t>Apertura</t>
  </si>
  <si>
    <t>inicio campanario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</si>
</sst>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1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9" fontId="0" fillId="3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1" fontId="0" fillId="2" borderId="0" xfId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9" fontId="0" fillId="2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1" fontId="0" fillId="3" borderId="8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4" xfId="0" applyNumberFormat="1" applyBorder="1" applyAlignment="1">
      <alignment horizontal="center" vertical="center"/>
    </xf>
    <xf numFmtId="41" fontId="0" fillId="0" borderId="6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41" fontId="0" fillId="0" borderId="12" xfId="0" applyNumberFormat="1" applyBorder="1"/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41" fontId="0" fillId="0" borderId="0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1" fontId="2" fillId="0" borderId="11" xfId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6" xfId="0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5B0F-AD84-4564-91C4-CF790C4D97D7}">
  <dimension ref="A1:G124"/>
  <sheetViews>
    <sheetView tabSelected="1" topLeftCell="A93" workbookViewId="0">
      <selection activeCell="K114" sqref="K114"/>
    </sheetView>
  </sheetViews>
  <sheetFormatPr baseColWidth="10" defaultRowHeight="14.4" x14ac:dyDescent="0.3"/>
  <cols>
    <col min="1" max="4" width="11.5546875" style="1"/>
    <col min="5" max="5" width="16.5546875" style="1" customWidth="1"/>
    <col min="6" max="6" width="11.5546875" style="1"/>
    <col min="7" max="7" width="28.21875" style="1" customWidth="1"/>
    <col min="8" max="16384" width="11.5546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3">
        <v>43831</v>
      </c>
      <c r="C2" s="1">
        <v>2020</v>
      </c>
      <c r="D2" s="1">
        <v>1</v>
      </c>
      <c r="E2" s="1">
        <v>0</v>
      </c>
      <c r="F2" s="1" t="s">
        <v>8</v>
      </c>
      <c r="G2" s="1" t="s">
        <v>111</v>
      </c>
    </row>
    <row r="3" spans="1:7" x14ac:dyDescent="0.3">
      <c r="A3" s="1" t="s">
        <v>7</v>
      </c>
      <c r="B3" s="3">
        <v>43862</v>
      </c>
      <c r="C3" s="1">
        <v>2020</v>
      </c>
      <c r="D3" s="1">
        <v>2</v>
      </c>
      <c r="E3" s="1">
        <v>30000</v>
      </c>
      <c r="F3" s="1" t="s">
        <v>8</v>
      </c>
    </row>
    <row r="4" spans="1:7" x14ac:dyDescent="0.3">
      <c r="A4" s="1" t="s">
        <v>7</v>
      </c>
      <c r="B4" s="3">
        <v>43891</v>
      </c>
      <c r="C4" s="1">
        <v>2020</v>
      </c>
      <c r="D4" s="1">
        <v>3</v>
      </c>
      <c r="E4" s="1">
        <v>0</v>
      </c>
      <c r="F4" s="1" t="s">
        <v>8</v>
      </c>
      <c r="G4" s="1" t="s">
        <v>9</v>
      </c>
    </row>
    <row r="5" spans="1:7" x14ac:dyDescent="0.3">
      <c r="A5" s="1" t="s">
        <v>7</v>
      </c>
      <c r="B5" s="3">
        <v>43922</v>
      </c>
      <c r="C5" s="1">
        <v>2020</v>
      </c>
      <c r="D5" s="1">
        <v>4</v>
      </c>
      <c r="E5" s="1">
        <v>0</v>
      </c>
      <c r="F5" s="1" t="s">
        <v>8</v>
      </c>
      <c r="G5" s="1" t="s">
        <v>9</v>
      </c>
    </row>
    <row r="6" spans="1:7" x14ac:dyDescent="0.3">
      <c r="A6" s="1" t="s">
        <v>7</v>
      </c>
      <c r="B6" s="3">
        <v>43952</v>
      </c>
      <c r="C6" s="1">
        <v>2020</v>
      </c>
      <c r="D6" s="1">
        <v>5</v>
      </c>
      <c r="E6" s="1">
        <v>0</v>
      </c>
      <c r="F6" s="1" t="s">
        <v>8</v>
      </c>
      <c r="G6" s="1" t="s">
        <v>9</v>
      </c>
    </row>
    <row r="7" spans="1:7" x14ac:dyDescent="0.3">
      <c r="A7" s="1" t="s">
        <v>7</v>
      </c>
      <c r="B7" s="3">
        <v>43983</v>
      </c>
      <c r="C7" s="1">
        <v>2020</v>
      </c>
      <c r="D7" s="1">
        <v>6</v>
      </c>
      <c r="E7" s="1">
        <v>0</v>
      </c>
      <c r="F7" s="1" t="s">
        <v>8</v>
      </c>
      <c r="G7" s="1" t="s">
        <v>9</v>
      </c>
    </row>
    <row r="8" spans="1:7" x14ac:dyDescent="0.3">
      <c r="A8" s="1" t="s">
        <v>7</v>
      </c>
      <c r="B8" s="3">
        <v>44013</v>
      </c>
      <c r="C8" s="1">
        <v>2020</v>
      </c>
      <c r="D8" s="1">
        <v>7</v>
      </c>
      <c r="E8" s="1">
        <v>0</v>
      </c>
      <c r="F8" s="1" t="s">
        <v>8</v>
      </c>
      <c r="G8" s="1" t="s">
        <v>9</v>
      </c>
    </row>
    <row r="9" spans="1:7" x14ac:dyDescent="0.3">
      <c r="A9" s="1" t="s">
        <v>7</v>
      </c>
      <c r="B9" s="3">
        <v>44044</v>
      </c>
      <c r="C9" s="1">
        <v>2020</v>
      </c>
      <c r="D9" s="1">
        <v>8</v>
      </c>
      <c r="E9" s="1">
        <v>0</v>
      </c>
      <c r="F9" s="1" t="s">
        <v>8</v>
      </c>
      <c r="G9" s="1" t="s">
        <v>9</v>
      </c>
    </row>
    <row r="10" spans="1:7" x14ac:dyDescent="0.3">
      <c r="A10" s="1" t="s">
        <v>7</v>
      </c>
      <c r="B10" s="3">
        <v>44075</v>
      </c>
      <c r="C10" s="1">
        <v>2020</v>
      </c>
      <c r="D10" s="1">
        <v>9</v>
      </c>
      <c r="E10" s="1">
        <v>0</v>
      </c>
      <c r="F10" s="1" t="s">
        <v>8</v>
      </c>
      <c r="G10" s="1" t="s">
        <v>9</v>
      </c>
    </row>
    <row r="11" spans="1:7" x14ac:dyDescent="0.3">
      <c r="A11" s="1" t="s">
        <v>7</v>
      </c>
      <c r="B11" s="3">
        <v>44105</v>
      </c>
      <c r="C11" s="1">
        <v>2020</v>
      </c>
      <c r="D11" s="1">
        <v>10</v>
      </c>
      <c r="E11" s="1">
        <v>0</v>
      </c>
      <c r="F11" s="1" t="s">
        <v>8</v>
      </c>
      <c r="G11" s="1" t="s">
        <v>9</v>
      </c>
    </row>
    <row r="12" spans="1:7" x14ac:dyDescent="0.3">
      <c r="A12" s="1" t="s">
        <v>7</v>
      </c>
      <c r="B12" s="3">
        <v>44136</v>
      </c>
      <c r="C12" s="1">
        <v>2020</v>
      </c>
      <c r="D12" s="1">
        <v>11</v>
      </c>
      <c r="E12" s="1">
        <v>180000</v>
      </c>
      <c r="F12" s="1" t="s">
        <v>8</v>
      </c>
    </row>
    <row r="13" spans="1:7" x14ac:dyDescent="0.3">
      <c r="A13" s="1" t="s">
        <v>7</v>
      </c>
      <c r="B13" s="3">
        <v>44166</v>
      </c>
      <c r="C13" s="1">
        <v>2020</v>
      </c>
      <c r="D13" s="1">
        <v>12</v>
      </c>
      <c r="E13" s="1">
        <v>180000</v>
      </c>
      <c r="F13" s="1" t="s">
        <v>8</v>
      </c>
    </row>
    <row r="14" spans="1:7" x14ac:dyDescent="0.3">
      <c r="A14" s="1" t="s">
        <v>7</v>
      </c>
      <c r="B14" s="3">
        <v>44197</v>
      </c>
      <c r="C14" s="1">
        <v>2021</v>
      </c>
      <c r="D14" s="1">
        <v>1</v>
      </c>
      <c r="E14" s="1">
        <v>345000</v>
      </c>
      <c r="F14" s="1" t="s">
        <v>8</v>
      </c>
    </row>
    <row r="15" spans="1:7" x14ac:dyDescent="0.3">
      <c r="A15" s="1" t="s">
        <v>7</v>
      </c>
      <c r="B15" s="3">
        <v>44228</v>
      </c>
      <c r="C15" s="1">
        <v>2021</v>
      </c>
      <c r="D15" s="1">
        <v>2</v>
      </c>
      <c r="E15" s="1">
        <v>610000</v>
      </c>
      <c r="F15" s="1" t="s">
        <v>8</v>
      </c>
    </row>
    <row r="16" spans="1:7" x14ac:dyDescent="0.3">
      <c r="A16" s="1" t="s">
        <v>7</v>
      </c>
      <c r="B16" s="3">
        <v>44256</v>
      </c>
      <c r="C16" s="1">
        <v>2021</v>
      </c>
      <c r="D16" s="1">
        <v>3</v>
      </c>
      <c r="E16" s="1">
        <v>484000</v>
      </c>
      <c r="F16" s="1" t="s">
        <v>8</v>
      </c>
    </row>
    <row r="17" spans="1:7" x14ac:dyDescent="0.3">
      <c r="A17" s="1" t="s">
        <v>7</v>
      </c>
      <c r="B17" s="3">
        <v>44287</v>
      </c>
      <c r="C17" s="1">
        <v>2021</v>
      </c>
      <c r="D17" s="1">
        <v>4</v>
      </c>
      <c r="E17" s="1">
        <v>0</v>
      </c>
      <c r="F17" s="1" t="s">
        <v>8</v>
      </c>
      <c r="G17" s="1" t="s">
        <v>9</v>
      </c>
    </row>
    <row r="18" spans="1:7" x14ac:dyDescent="0.3">
      <c r="A18" s="1" t="s">
        <v>7</v>
      </c>
      <c r="B18" s="3">
        <v>44317</v>
      </c>
      <c r="C18" s="1">
        <v>2021</v>
      </c>
      <c r="D18" s="1">
        <v>5</v>
      </c>
      <c r="E18" s="1">
        <v>325001</v>
      </c>
      <c r="F18" s="1" t="s">
        <v>8</v>
      </c>
    </row>
    <row r="19" spans="1:7" x14ac:dyDescent="0.3">
      <c r="A19" s="1" t="s">
        <v>7</v>
      </c>
      <c r="B19" s="3">
        <v>44348</v>
      </c>
      <c r="C19" s="1">
        <v>2021</v>
      </c>
      <c r="D19" s="1">
        <v>6</v>
      </c>
      <c r="E19" s="1">
        <v>156000</v>
      </c>
      <c r="F19" s="1" t="s">
        <v>8</v>
      </c>
    </row>
    <row r="20" spans="1:7" x14ac:dyDescent="0.3">
      <c r="A20" s="1" t="s">
        <v>7</v>
      </c>
      <c r="B20" s="3">
        <v>44378</v>
      </c>
      <c r="C20" s="1">
        <v>2021</v>
      </c>
      <c r="D20" s="1">
        <v>7</v>
      </c>
      <c r="E20" s="1">
        <v>1108002</v>
      </c>
      <c r="F20" s="1" t="s">
        <v>8</v>
      </c>
    </row>
    <row r="21" spans="1:7" x14ac:dyDescent="0.3">
      <c r="A21" s="1" t="s">
        <v>7</v>
      </c>
      <c r="B21" s="3">
        <v>44409</v>
      </c>
      <c r="C21" s="1">
        <v>2021</v>
      </c>
      <c r="D21" s="1">
        <v>8</v>
      </c>
      <c r="E21" s="1">
        <v>1896000</v>
      </c>
      <c r="F21" s="1" t="s">
        <v>8</v>
      </c>
    </row>
    <row r="22" spans="1:7" x14ac:dyDescent="0.3">
      <c r="A22" s="1" t="s">
        <v>7</v>
      </c>
      <c r="B22" s="3">
        <v>44440</v>
      </c>
      <c r="C22" s="1">
        <v>2021</v>
      </c>
      <c r="D22" s="1">
        <v>9</v>
      </c>
      <c r="E22" s="1">
        <v>2310050</v>
      </c>
      <c r="F22" s="1" t="s">
        <v>8</v>
      </c>
    </row>
    <row r="23" spans="1:7" x14ac:dyDescent="0.3">
      <c r="A23" s="1" t="s">
        <v>7</v>
      </c>
      <c r="B23" s="3">
        <v>44470</v>
      </c>
      <c r="C23" s="1">
        <v>2021</v>
      </c>
      <c r="D23" s="1">
        <v>10</v>
      </c>
      <c r="E23" s="1">
        <v>2452000</v>
      </c>
      <c r="F23" s="1" t="s">
        <v>8</v>
      </c>
    </row>
    <row r="24" spans="1:7" x14ac:dyDescent="0.3">
      <c r="A24" s="1" t="s">
        <v>7</v>
      </c>
      <c r="B24" s="3">
        <v>44501</v>
      </c>
      <c r="C24" s="1">
        <v>2021</v>
      </c>
      <c r="D24" s="1">
        <v>11</v>
      </c>
      <c r="E24" s="1">
        <v>2877000</v>
      </c>
      <c r="F24" s="1" t="s">
        <v>8</v>
      </c>
    </row>
    <row r="25" spans="1:7" x14ac:dyDescent="0.3">
      <c r="A25" s="1" t="s">
        <v>7</v>
      </c>
      <c r="B25" s="3">
        <v>44531</v>
      </c>
      <c r="C25" s="1">
        <v>2021</v>
      </c>
      <c r="D25" s="1">
        <v>12</v>
      </c>
      <c r="E25" s="1">
        <v>2581000</v>
      </c>
      <c r="F25" s="1" t="s">
        <v>8</v>
      </c>
    </row>
    <row r="26" spans="1:7" x14ac:dyDescent="0.3">
      <c r="A26" s="1" t="s">
        <v>7</v>
      </c>
      <c r="B26" s="3">
        <v>44562</v>
      </c>
      <c r="C26" s="1">
        <v>2022</v>
      </c>
      <c r="D26" s="1">
        <v>1</v>
      </c>
      <c r="E26" s="1">
        <v>2681907</v>
      </c>
      <c r="F26" s="1" t="s">
        <v>8</v>
      </c>
    </row>
    <row r="27" spans="1:7" x14ac:dyDescent="0.3">
      <c r="A27" s="1" t="s">
        <v>7</v>
      </c>
      <c r="B27" s="3">
        <v>44593</v>
      </c>
      <c r="C27" s="1">
        <v>2022</v>
      </c>
      <c r="D27" s="1">
        <v>2</v>
      </c>
      <c r="E27" s="1">
        <v>1586450</v>
      </c>
      <c r="F27" s="1" t="s">
        <v>8</v>
      </c>
    </row>
    <row r="28" spans="1:7" x14ac:dyDescent="0.3">
      <c r="A28" s="1" t="s">
        <v>7</v>
      </c>
      <c r="B28" s="3">
        <v>44621</v>
      </c>
      <c r="C28" s="1">
        <v>2022</v>
      </c>
      <c r="D28" s="1">
        <v>3</v>
      </c>
      <c r="E28" s="1">
        <v>2683400</v>
      </c>
      <c r="F28" s="1" t="s">
        <v>8</v>
      </c>
    </row>
    <row r="29" spans="1:7" x14ac:dyDescent="0.3">
      <c r="A29" s="1" t="s">
        <v>7</v>
      </c>
      <c r="B29" s="3">
        <v>44652</v>
      </c>
      <c r="C29" s="1">
        <v>2022</v>
      </c>
      <c r="D29" s="1">
        <v>4</v>
      </c>
      <c r="E29" s="1">
        <v>2501280</v>
      </c>
      <c r="F29" s="1" t="s">
        <v>8</v>
      </c>
    </row>
    <row r="30" spans="1:7" x14ac:dyDescent="0.3">
      <c r="A30" s="1" t="s">
        <v>7</v>
      </c>
      <c r="B30" s="3">
        <v>44682</v>
      </c>
      <c r="C30" s="1">
        <v>2022</v>
      </c>
      <c r="D30" s="1">
        <v>5</v>
      </c>
      <c r="E30" s="1">
        <v>2113540</v>
      </c>
      <c r="F30" s="1" t="s">
        <v>8</v>
      </c>
    </row>
    <row r="31" spans="1:7" x14ac:dyDescent="0.3">
      <c r="A31" s="1" t="s">
        <v>7</v>
      </c>
      <c r="B31" s="3">
        <v>44713</v>
      </c>
      <c r="C31" s="1">
        <v>2022</v>
      </c>
      <c r="D31" s="1">
        <v>6</v>
      </c>
      <c r="E31" s="1">
        <v>3032990</v>
      </c>
      <c r="F31" s="1" t="s">
        <v>8</v>
      </c>
    </row>
    <row r="32" spans="1:7" x14ac:dyDescent="0.3">
      <c r="A32" s="1" t="s">
        <v>7</v>
      </c>
      <c r="B32" s="3">
        <v>44743</v>
      </c>
      <c r="C32" s="1">
        <v>2022</v>
      </c>
      <c r="D32" s="1">
        <v>7</v>
      </c>
      <c r="E32" s="1">
        <v>3100540</v>
      </c>
      <c r="F32" s="1" t="s">
        <v>8</v>
      </c>
    </row>
    <row r="33" spans="1:6" x14ac:dyDescent="0.3">
      <c r="A33" s="1" t="s">
        <v>7</v>
      </c>
      <c r="B33" s="3">
        <v>44774</v>
      </c>
      <c r="C33" s="1">
        <v>2022</v>
      </c>
      <c r="D33" s="1">
        <v>8</v>
      </c>
      <c r="E33" s="1">
        <v>3437150</v>
      </c>
      <c r="F33" s="1" t="s">
        <v>8</v>
      </c>
    </row>
    <row r="34" spans="1:6" x14ac:dyDescent="0.3">
      <c r="A34" s="1" t="s">
        <v>7</v>
      </c>
      <c r="B34" s="3">
        <v>44805</v>
      </c>
      <c r="C34" s="1">
        <v>2022</v>
      </c>
      <c r="D34" s="1">
        <v>9</v>
      </c>
      <c r="E34" s="1">
        <v>2833610</v>
      </c>
      <c r="F34" s="1" t="s">
        <v>8</v>
      </c>
    </row>
    <row r="35" spans="1:6" x14ac:dyDescent="0.3">
      <c r="A35" s="1" t="s">
        <v>7</v>
      </c>
      <c r="B35" s="3">
        <v>44835</v>
      </c>
      <c r="C35" s="1">
        <v>2022</v>
      </c>
      <c r="D35" s="1">
        <v>10</v>
      </c>
      <c r="E35" s="1">
        <v>3507270</v>
      </c>
      <c r="F35" s="1" t="s">
        <v>8</v>
      </c>
    </row>
    <row r="36" spans="1:6" x14ac:dyDescent="0.3">
      <c r="A36" s="1" t="s">
        <v>7</v>
      </c>
      <c r="B36" s="3">
        <v>44866</v>
      </c>
      <c r="C36" s="1">
        <v>2022</v>
      </c>
      <c r="D36" s="1">
        <v>11</v>
      </c>
      <c r="E36" s="1">
        <v>4291890</v>
      </c>
      <c r="F36" s="1" t="s">
        <v>8</v>
      </c>
    </row>
    <row r="37" spans="1:6" x14ac:dyDescent="0.3">
      <c r="A37" s="1" t="s">
        <v>7</v>
      </c>
      <c r="B37" s="3">
        <v>44896</v>
      </c>
      <c r="C37" s="1">
        <v>2022</v>
      </c>
      <c r="D37" s="1">
        <v>12</v>
      </c>
      <c r="E37" s="1">
        <v>3968790</v>
      </c>
      <c r="F37" s="1" t="s">
        <v>8</v>
      </c>
    </row>
    <row r="38" spans="1:6" x14ac:dyDescent="0.3">
      <c r="A38" s="1" t="s">
        <v>7</v>
      </c>
      <c r="B38" s="3">
        <v>44927</v>
      </c>
      <c r="C38" s="1">
        <v>2023</v>
      </c>
      <c r="D38" s="1">
        <v>1</v>
      </c>
      <c r="E38" s="1">
        <v>3911430</v>
      </c>
      <c r="F38" s="1" t="s">
        <v>8</v>
      </c>
    </row>
    <row r="39" spans="1:6" x14ac:dyDescent="0.3">
      <c r="A39" s="1" t="s">
        <v>7</v>
      </c>
      <c r="B39" s="3">
        <v>44958</v>
      </c>
      <c r="C39" s="1">
        <v>2023</v>
      </c>
      <c r="D39" s="1">
        <v>2</v>
      </c>
      <c r="E39" s="1">
        <v>3441804</v>
      </c>
      <c r="F39" s="1" t="s">
        <v>8</v>
      </c>
    </row>
    <row r="40" spans="1:6" x14ac:dyDescent="0.3">
      <c r="A40" s="1" t="s">
        <v>7</v>
      </c>
      <c r="B40" s="3">
        <v>44986</v>
      </c>
      <c r="C40" s="1">
        <v>2023</v>
      </c>
      <c r="D40" s="1">
        <v>3</v>
      </c>
      <c r="E40" s="1">
        <v>3968560</v>
      </c>
      <c r="F40" s="1" t="s">
        <v>8</v>
      </c>
    </row>
    <row r="41" spans="1:6" x14ac:dyDescent="0.3">
      <c r="A41" s="1" t="s">
        <v>7</v>
      </c>
      <c r="B41" s="3">
        <v>45017</v>
      </c>
      <c r="C41" s="1">
        <v>2023</v>
      </c>
      <c r="D41" s="1">
        <v>4</v>
      </c>
      <c r="E41" s="1">
        <v>3763280</v>
      </c>
      <c r="F41" s="1" t="s">
        <v>8</v>
      </c>
    </row>
    <row r="42" spans="1:6" x14ac:dyDescent="0.3">
      <c r="A42" s="1" t="s">
        <v>7</v>
      </c>
      <c r="B42" s="3">
        <v>45047</v>
      </c>
      <c r="C42" s="1">
        <v>2023</v>
      </c>
      <c r="D42" s="1">
        <v>5</v>
      </c>
      <c r="E42" s="1">
        <v>3840390</v>
      </c>
      <c r="F42" s="1" t="s">
        <v>8</v>
      </c>
    </row>
    <row r="43" spans="1:6" x14ac:dyDescent="0.3">
      <c r="A43" s="1" t="s">
        <v>7</v>
      </c>
      <c r="B43" s="3">
        <v>45078</v>
      </c>
      <c r="C43" s="1">
        <v>2023</v>
      </c>
      <c r="D43" s="1">
        <v>6</v>
      </c>
      <c r="E43" s="1">
        <v>3565230</v>
      </c>
      <c r="F43" s="1" t="s">
        <v>8</v>
      </c>
    </row>
    <row r="44" spans="1:6" x14ac:dyDescent="0.3">
      <c r="A44" s="1" t="s">
        <v>7</v>
      </c>
      <c r="B44" s="3">
        <v>45108</v>
      </c>
      <c r="C44" s="1">
        <v>2023</v>
      </c>
      <c r="D44" s="1">
        <v>7</v>
      </c>
      <c r="E44" s="1">
        <v>3604500</v>
      </c>
      <c r="F44" s="1" t="s">
        <v>8</v>
      </c>
    </row>
    <row r="45" spans="1:6" x14ac:dyDescent="0.3">
      <c r="A45" s="1" t="s">
        <v>7</v>
      </c>
      <c r="B45" s="3">
        <v>45139</v>
      </c>
      <c r="C45" s="1">
        <v>2023</v>
      </c>
      <c r="D45" s="1">
        <v>8</v>
      </c>
      <c r="E45" s="1">
        <v>4048489</v>
      </c>
      <c r="F45" s="1" t="s">
        <v>8</v>
      </c>
    </row>
    <row r="46" spans="1:6" x14ac:dyDescent="0.3">
      <c r="A46" s="1" t="s">
        <v>7</v>
      </c>
      <c r="B46" s="3">
        <v>45170</v>
      </c>
      <c r="C46" s="1">
        <v>2023</v>
      </c>
      <c r="D46" s="1">
        <v>9</v>
      </c>
      <c r="E46" s="1">
        <v>3129800</v>
      </c>
      <c r="F46" s="1" t="s">
        <v>8</v>
      </c>
    </row>
    <row r="47" spans="1:6" x14ac:dyDescent="0.3">
      <c r="A47" s="1" t="s">
        <v>7</v>
      </c>
      <c r="B47" s="3">
        <v>45200</v>
      </c>
      <c r="C47" s="1">
        <v>2023</v>
      </c>
      <c r="D47" s="1">
        <v>10</v>
      </c>
      <c r="E47" s="1">
        <v>4059400</v>
      </c>
      <c r="F47" s="1" t="s">
        <v>8</v>
      </c>
    </row>
    <row r="48" spans="1:6" x14ac:dyDescent="0.3">
      <c r="A48" s="1" t="s">
        <v>7</v>
      </c>
      <c r="B48" s="3">
        <v>45231</v>
      </c>
      <c r="C48" s="1">
        <v>2023</v>
      </c>
      <c r="D48" s="1">
        <v>11</v>
      </c>
      <c r="E48" s="1">
        <v>3895550</v>
      </c>
      <c r="F48" s="1" t="s">
        <v>8</v>
      </c>
    </row>
    <row r="49" spans="1:6" x14ac:dyDescent="0.3">
      <c r="A49" s="1" t="s">
        <v>7</v>
      </c>
      <c r="B49" s="3">
        <v>45261</v>
      </c>
      <c r="C49" s="1">
        <v>2023</v>
      </c>
      <c r="D49" s="1">
        <v>12</v>
      </c>
      <c r="E49" s="1">
        <v>3845050</v>
      </c>
      <c r="F49" s="1" t="s">
        <v>8</v>
      </c>
    </row>
    <row r="50" spans="1:6" x14ac:dyDescent="0.3">
      <c r="A50" s="1" t="s">
        <v>7</v>
      </c>
      <c r="B50" s="3">
        <v>45292</v>
      </c>
      <c r="C50" s="1">
        <v>2024</v>
      </c>
      <c r="D50" s="1">
        <v>1</v>
      </c>
      <c r="E50" s="1">
        <v>4383900</v>
      </c>
      <c r="F50" s="1" t="s">
        <v>8</v>
      </c>
    </row>
    <row r="51" spans="1:6" x14ac:dyDescent="0.3">
      <c r="A51" s="1" t="s">
        <v>7</v>
      </c>
      <c r="B51" s="3">
        <v>45323</v>
      </c>
      <c r="C51" s="1">
        <v>2024</v>
      </c>
      <c r="D51" s="1">
        <v>2</v>
      </c>
      <c r="E51" s="1">
        <v>3582900</v>
      </c>
      <c r="F51" s="1" t="s">
        <v>8</v>
      </c>
    </row>
    <row r="52" spans="1:6" x14ac:dyDescent="0.3">
      <c r="A52" s="1" t="s">
        <v>7</v>
      </c>
      <c r="B52" s="3">
        <v>45352</v>
      </c>
      <c r="C52" s="1">
        <v>2024</v>
      </c>
      <c r="D52" s="1">
        <v>3</v>
      </c>
      <c r="E52" s="1">
        <v>3559900</v>
      </c>
      <c r="F52" s="1" t="s">
        <v>8</v>
      </c>
    </row>
    <row r="53" spans="1:6" x14ac:dyDescent="0.3">
      <c r="A53" s="1" t="s">
        <v>7</v>
      </c>
      <c r="B53" s="3">
        <v>45383</v>
      </c>
      <c r="C53" s="1">
        <v>2024</v>
      </c>
      <c r="D53" s="1">
        <v>4</v>
      </c>
      <c r="E53" s="1">
        <v>3523440</v>
      </c>
      <c r="F53" s="1" t="s">
        <v>8</v>
      </c>
    </row>
    <row r="54" spans="1:6" x14ac:dyDescent="0.3">
      <c r="A54" s="1" t="s">
        <v>7</v>
      </c>
      <c r="B54" s="3">
        <v>45413</v>
      </c>
      <c r="C54" s="1">
        <v>2024</v>
      </c>
      <c r="D54" s="1">
        <v>5</v>
      </c>
      <c r="E54" s="1">
        <v>3765000</v>
      </c>
      <c r="F54" s="1" t="s">
        <v>8</v>
      </c>
    </row>
    <row r="55" spans="1:6" x14ac:dyDescent="0.3">
      <c r="A55" s="1" t="s">
        <v>7</v>
      </c>
      <c r="B55" s="3">
        <v>45444</v>
      </c>
      <c r="C55" s="1">
        <v>2024</v>
      </c>
      <c r="D55" s="1">
        <v>6</v>
      </c>
      <c r="E55" s="1">
        <v>3066300</v>
      </c>
      <c r="F55" s="1" t="s">
        <v>8</v>
      </c>
    </row>
    <row r="56" spans="1:6" x14ac:dyDescent="0.3">
      <c r="A56" s="1" t="s">
        <v>7</v>
      </c>
      <c r="B56" s="3">
        <v>45474</v>
      </c>
      <c r="C56" s="1">
        <v>2024</v>
      </c>
      <c r="D56" s="1">
        <v>7</v>
      </c>
      <c r="E56" s="1">
        <v>4079800</v>
      </c>
      <c r="F56" s="1" t="s">
        <v>8</v>
      </c>
    </row>
    <row r="57" spans="1:6" x14ac:dyDescent="0.3">
      <c r="A57" s="1" t="s">
        <v>7</v>
      </c>
      <c r="B57" s="3">
        <v>45505</v>
      </c>
      <c r="C57" s="1">
        <v>2024</v>
      </c>
      <c r="D57" s="1">
        <v>8</v>
      </c>
      <c r="E57" s="1">
        <v>3057800</v>
      </c>
      <c r="F57" s="1" t="s">
        <v>8</v>
      </c>
    </row>
    <row r="58" spans="1:6" x14ac:dyDescent="0.3">
      <c r="A58" s="1" t="s">
        <v>7</v>
      </c>
      <c r="B58" s="3">
        <v>45536</v>
      </c>
      <c r="C58" s="1">
        <v>2024</v>
      </c>
      <c r="D58" s="1">
        <v>9</v>
      </c>
      <c r="E58" s="1">
        <v>3009800</v>
      </c>
      <c r="F58" s="1" t="s">
        <v>8</v>
      </c>
    </row>
    <row r="59" spans="1:6" x14ac:dyDescent="0.3">
      <c r="A59" s="1" t="s">
        <v>7</v>
      </c>
      <c r="B59" s="3">
        <v>45566</v>
      </c>
      <c r="C59" s="1">
        <v>2024</v>
      </c>
      <c r="D59" s="1">
        <v>10</v>
      </c>
      <c r="E59" s="1">
        <v>4191700</v>
      </c>
      <c r="F59" s="1" t="s">
        <v>8</v>
      </c>
    </row>
    <row r="60" spans="1:6" x14ac:dyDescent="0.3">
      <c r="A60" s="1" t="s">
        <v>7</v>
      </c>
      <c r="B60" s="3">
        <v>45597</v>
      </c>
      <c r="C60" s="1">
        <v>2024</v>
      </c>
      <c r="D60" s="1">
        <v>11</v>
      </c>
      <c r="E60" s="1">
        <v>3398310</v>
      </c>
      <c r="F60" s="1" t="s">
        <v>8</v>
      </c>
    </row>
    <row r="61" spans="1:6" x14ac:dyDescent="0.3">
      <c r="A61" s="1" t="s">
        <v>7</v>
      </c>
      <c r="B61" s="3">
        <v>45627</v>
      </c>
      <c r="C61" s="1">
        <v>2024</v>
      </c>
      <c r="D61" s="1">
        <v>12</v>
      </c>
      <c r="E61" s="1">
        <v>3451800</v>
      </c>
      <c r="F61" s="1" t="s">
        <v>8</v>
      </c>
    </row>
    <row r="62" spans="1:6" x14ac:dyDescent="0.3">
      <c r="A62" s="1" t="s">
        <v>7</v>
      </c>
      <c r="B62" s="3">
        <v>45658</v>
      </c>
      <c r="C62" s="1">
        <v>2025</v>
      </c>
      <c r="D62" s="1">
        <v>1</v>
      </c>
      <c r="E62" s="1">
        <v>4040000</v>
      </c>
      <c r="F62" s="1" t="s">
        <v>8</v>
      </c>
    </row>
    <row r="63" spans="1:6" x14ac:dyDescent="0.3">
      <c r="A63" s="1" t="s">
        <v>7</v>
      </c>
      <c r="B63" s="3">
        <v>45689</v>
      </c>
      <c r="C63" s="1">
        <v>2025</v>
      </c>
      <c r="D63" s="1">
        <v>2</v>
      </c>
      <c r="E63" s="1">
        <v>3971800</v>
      </c>
      <c r="F63" s="1" t="s">
        <v>8</v>
      </c>
    </row>
    <row r="64" spans="1:6" x14ac:dyDescent="0.3">
      <c r="A64" s="1" t="s">
        <v>7</v>
      </c>
      <c r="B64" s="3">
        <v>45717</v>
      </c>
      <c r="C64" s="1">
        <v>2025</v>
      </c>
      <c r="D64" s="1">
        <v>3</v>
      </c>
      <c r="E64" s="1">
        <v>5018250</v>
      </c>
      <c r="F64" s="1" t="s">
        <v>8</v>
      </c>
    </row>
    <row r="65" spans="1:7" x14ac:dyDescent="0.3">
      <c r="A65" s="1" t="s">
        <v>7</v>
      </c>
      <c r="B65" s="3">
        <v>45748</v>
      </c>
      <c r="C65" s="1">
        <v>2025</v>
      </c>
      <c r="D65" s="1">
        <v>4</v>
      </c>
      <c r="E65" s="1">
        <v>4670500</v>
      </c>
      <c r="F65" s="1" t="s">
        <v>8</v>
      </c>
    </row>
    <row r="66" spans="1:7" x14ac:dyDescent="0.3">
      <c r="A66" s="1" t="s">
        <v>7</v>
      </c>
      <c r="B66" s="3">
        <v>45778</v>
      </c>
      <c r="C66" s="1">
        <v>2025</v>
      </c>
      <c r="D66" s="1">
        <v>5</v>
      </c>
      <c r="E66" s="1">
        <v>4146100</v>
      </c>
      <c r="F66" s="1" t="s">
        <v>8</v>
      </c>
    </row>
    <row r="67" spans="1:7" x14ac:dyDescent="0.3">
      <c r="A67" s="1" t="s">
        <v>7</v>
      </c>
      <c r="B67" s="3">
        <v>45809</v>
      </c>
      <c r="C67" s="1">
        <v>2025</v>
      </c>
      <c r="D67" s="1">
        <v>6</v>
      </c>
      <c r="E67" s="1">
        <v>4112055</v>
      </c>
      <c r="F67" s="1" t="s">
        <v>8</v>
      </c>
    </row>
    <row r="68" spans="1:7" x14ac:dyDescent="0.3">
      <c r="A68" s="1" t="s">
        <v>7</v>
      </c>
      <c r="B68" s="3">
        <v>45839</v>
      </c>
      <c r="C68" s="1">
        <v>2025</v>
      </c>
      <c r="D68" s="1">
        <v>7</v>
      </c>
      <c r="E68" s="1">
        <v>4172550</v>
      </c>
      <c r="F68" s="1" t="s">
        <v>8</v>
      </c>
    </row>
    <row r="69" spans="1:7" x14ac:dyDescent="0.3">
      <c r="A69" s="1" t="s">
        <v>7</v>
      </c>
      <c r="B69" s="3">
        <v>45870</v>
      </c>
      <c r="C69" s="1">
        <v>2025</v>
      </c>
      <c r="D69" s="1">
        <v>8</v>
      </c>
      <c r="E69" s="1">
        <v>4137500</v>
      </c>
      <c r="F69" s="1" t="s">
        <v>8</v>
      </c>
    </row>
    <row r="70" spans="1:7" x14ac:dyDescent="0.3">
      <c r="A70" s="1" t="s">
        <v>7</v>
      </c>
      <c r="B70" s="3">
        <v>45901</v>
      </c>
      <c r="C70" s="1">
        <v>2025</v>
      </c>
      <c r="D70" s="1">
        <v>9</v>
      </c>
      <c r="E70" s="1">
        <v>4088938</v>
      </c>
      <c r="F70" s="1" t="s">
        <v>8</v>
      </c>
    </row>
    <row r="71" spans="1:7" x14ac:dyDescent="0.3">
      <c r="A71" s="1" t="s">
        <v>7</v>
      </c>
      <c r="B71" s="3">
        <v>45931</v>
      </c>
      <c r="C71" s="1">
        <v>2025</v>
      </c>
      <c r="D71" s="1">
        <v>10</v>
      </c>
      <c r="E71" s="1">
        <v>4140940</v>
      </c>
      <c r="F71" s="1" t="s">
        <v>8</v>
      </c>
    </row>
    <row r="72" spans="1:7" x14ac:dyDescent="0.3">
      <c r="A72" s="1" t="s">
        <v>7</v>
      </c>
      <c r="B72" s="3">
        <v>45962</v>
      </c>
      <c r="C72" s="1">
        <v>2025</v>
      </c>
      <c r="D72" s="1">
        <v>11</v>
      </c>
      <c r="E72" s="1">
        <v>4590700</v>
      </c>
      <c r="F72" s="1" t="s">
        <v>8</v>
      </c>
    </row>
    <row r="73" spans="1:7" x14ac:dyDescent="0.3">
      <c r="A73" s="1" t="s">
        <v>7</v>
      </c>
      <c r="B73" s="3">
        <v>45992</v>
      </c>
      <c r="C73" s="1">
        <v>2025</v>
      </c>
      <c r="D73" s="1">
        <v>12</v>
      </c>
      <c r="E73" s="1">
        <v>3990800</v>
      </c>
      <c r="F73" s="1" t="s">
        <v>8</v>
      </c>
    </row>
    <row r="74" spans="1:7" x14ac:dyDescent="0.3">
      <c r="A74" s="1" t="s">
        <v>10</v>
      </c>
      <c r="B74" s="3">
        <v>44470</v>
      </c>
      <c r="C74" s="1">
        <v>2021</v>
      </c>
      <c r="D74" s="1">
        <v>10</v>
      </c>
      <c r="E74" s="1">
        <v>520000</v>
      </c>
      <c r="F74" s="1" t="s">
        <v>8</v>
      </c>
      <c r="G74" s="1" t="s">
        <v>112</v>
      </c>
    </row>
    <row r="75" spans="1:7" x14ac:dyDescent="0.3">
      <c r="A75" s="1" t="s">
        <v>10</v>
      </c>
      <c r="B75" s="3">
        <v>44501</v>
      </c>
      <c r="C75" s="1">
        <v>2021</v>
      </c>
      <c r="D75" s="1">
        <v>11</v>
      </c>
      <c r="E75" s="1">
        <v>698001</v>
      </c>
      <c r="F75" s="1" t="s">
        <v>8</v>
      </c>
    </row>
    <row r="76" spans="1:7" x14ac:dyDescent="0.3">
      <c r="A76" s="1" t="s">
        <v>10</v>
      </c>
      <c r="B76" s="3">
        <v>44531</v>
      </c>
      <c r="C76" s="1">
        <v>2021</v>
      </c>
      <c r="D76" s="1">
        <v>12</v>
      </c>
      <c r="E76" s="1">
        <v>1048000</v>
      </c>
      <c r="F76" s="1" t="s">
        <v>8</v>
      </c>
    </row>
    <row r="77" spans="1:7" x14ac:dyDescent="0.3">
      <c r="A77" s="1" t="s">
        <v>10</v>
      </c>
      <c r="B77" s="3">
        <v>44562</v>
      </c>
      <c r="C77" s="1">
        <v>2022</v>
      </c>
      <c r="D77" s="1">
        <v>1</v>
      </c>
      <c r="E77" s="1">
        <v>1156300</v>
      </c>
      <c r="F77" s="1" t="s">
        <v>8</v>
      </c>
    </row>
    <row r="78" spans="1:7" x14ac:dyDescent="0.3">
      <c r="A78" s="1" t="s">
        <v>10</v>
      </c>
      <c r="B78" s="3">
        <v>44593</v>
      </c>
      <c r="C78" s="1">
        <v>2022</v>
      </c>
      <c r="D78" s="1">
        <v>2</v>
      </c>
      <c r="E78" s="1">
        <v>574100</v>
      </c>
      <c r="F78" s="1" t="s">
        <v>8</v>
      </c>
    </row>
    <row r="79" spans="1:7" x14ac:dyDescent="0.3">
      <c r="A79" s="1" t="s">
        <v>10</v>
      </c>
      <c r="B79" s="3">
        <v>44621</v>
      </c>
      <c r="C79" s="1">
        <v>2022</v>
      </c>
      <c r="D79" s="1">
        <v>3</v>
      </c>
      <c r="E79" s="1">
        <v>1296800</v>
      </c>
      <c r="F79" s="1" t="s">
        <v>8</v>
      </c>
    </row>
    <row r="80" spans="1:7" x14ac:dyDescent="0.3">
      <c r="A80" s="1" t="s">
        <v>10</v>
      </c>
      <c r="B80" s="3">
        <v>44652</v>
      </c>
      <c r="C80" s="1">
        <v>2022</v>
      </c>
      <c r="D80" s="1">
        <v>4</v>
      </c>
      <c r="E80" s="1">
        <v>1706940</v>
      </c>
      <c r="F80" s="1" t="s">
        <v>8</v>
      </c>
    </row>
    <row r="81" spans="1:7" x14ac:dyDescent="0.3">
      <c r="A81" s="1" t="s">
        <v>10</v>
      </c>
      <c r="B81" s="3">
        <v>44682</v>
      </c>
      <c r="C81" s="1">
        <v>2022</v>
      </c>
      <c r="D81" s="1">
        <v>5</v>
      </c>
      <c r="E81" s="1">
        <v>1786402</v>
      </c>
      <c r="F81" s="1" t="s">
        <v>8</v>
      </c>
    </row>
    <row r="82" spans="1:7" x14ac:dyDescent="0.3">
      <c r="A82" s="1" t="s">
        <v>10</v>
      </c>
      <c r="B82" s="3">
        <v>44713</v>
      </c>
      <c r="C82" s="1">
        <v>2022</v>
      </c>
      <c r="D82" s="1">
        <v>6</v>
      </c>
      <c r="E82" s="1">
        <v>1674500</v>
      </c>
      <c r="F82" s="1" t="s">
        <v>8</v>
      </c>
    </row>
    <row r="83" spans="1:7" x14ac:dyDescent="0.3">
      <c r="A83" s="1" t="s">
        <v>10</v>
      </c>
      <c r="B83" s="3">
        <v>44743</v>
      </c>
      <c r="C83" s="1">
        <v>2022</v>
      </c>
      <c r="D83" s="1">
        <v>7</v>
      </c>
      <c r="E83" s="1">
        <v>1628833</v>
      </c>
      <c r="F83" s="1" t="s">
        <v>8</v>
      </c>
    </row>
    <row r="84" spans="1:7" x14ac:dyDescent="0.3">
      <c r="A84" s="1" t="s">
        <v>10</v>
      </c>
      <c r="B84" s="3">
        <v>44774</v>
      </c>
      <c r="C84" s="1">
        <v>2022</v>
      </c>
      <c r="D84" s="1">
        <v>8</v>
      </c>
      <c r="E84" s="1">
        <v>1965500</v>
      </c>
      <c r="F84" s="1" t="s">
        <v>8</v>
      </c>
    </row>
    <row r="85" spans="1:7" x14ac:dyDescent="0.3">
      <c r="A85" s="1" t="s">
        <v>10</v>
      </c>
      <c r="B85" s="3">
        <v>44805</v>
      </c>
      <c r="C85" s="1">
        <v>2022</v>
      </c>
      <c r="D85" s="1">
        <v>9</v>
      </c>
      <c r="E85" s="1">
        <v>2017000</v>
      </c>
      <c r="F85" s="1" t="s">
        <v>8</v>
      </c>
    </row>
    <row r="86" spans="1:7" x14ac:dyDescent="0.3">
      <c r="A86" s="1" t="s">
        <v>10</v>
      </c>
      <c r="B86" s="3">
        <v>44835</v>
      </c>
      <c r="C86" s="1">
        <v>2022</v>
      </c>
      <c r="D86" s="1">
        <v>10</v>
      </c>
      <c r="E86" s="1">
        <v>2619100</v>
      </c>
      <c r="F86" s="1" t="s">
        <v>8</v>
      </c>
    </row>
    <row r="87" spans="1:7" x14ac:dyDescent="0.3">
      <c r="A87" s="1" t="s">
        <v>10</v>
      </c>
      <c r="B87" s="3">
        <v>44866</v>
      </c>
      <c r="C87" s="1">
        <v>2022</v>
      </c>
      <c r="D87" s="1">
        <v>11</v>
      </c>
      <c r="E87" s="1">
        <v>2020100</v>
      </c>
      <c r="F87" s="1" t="s">
        <v>8</v>
      </c>
    </row>
    <row r="88" spans="1:7" x14ac:dyDescent="0.3">
      <c r="A88" s="1" t="s">
        <v>10</v>
      </c>
      <c r="B88" s="3">
        <v>44896</v>
      </c>
      <c r="C88" s="1">
        <v>2022</v>
      </c>
      <c r="D88" s="1">
        <v>12</v>
      </c>
      <c r="E88" s="1">
        <v>2180300</v>
      </c>
      <c r="F88" s="1" t="s">
        <v>8</v>
      </c>
    </row>
    <row r="89" spans="1:7" x14ac:dyDescent="0.3">
      <c r="A89" s="1" t="s">
        <v>10</v>
      </c>
      <c r="B89" s="3">
        <v>44927</v>
      </c>
      <c r="C89" s="1">
        <v>2023</v>
      </c>
      <c r="D89" s="1">
        <v>1</v>
      </c>
      <c r="E89" s="1">
        <v>2448310</v>
      </c>
      <c r="F89" s="1" t="s">
        <v>8</v>
      </c>
    </row>
    <row r="90" spans="1:7" x14ac:dyDescent="0.3">
      <c r="A90" s="1" t="s">
        <v>10</v>
      </c>
      <c r="B90" s="3">
        <v>44958</v>
      </c>
      <c r="C90" s="1">
        <v>2023</v>
      </c>
      <c r="D90" s="1">
        <v>2</v>
      </c>
      <c r="E90" s="1">
        <v>2614733</v>
      </c>
      <c r="F90" s="1" t="s">
        <v>8</v>
      </c>
    </row>
    <row r="91" spans="1:7" x14ac:dyDescent="0.3">
      <c r="A91" s="1" t="s">
        <v>10</v>
      </c>
      <c r="B91" s="3">
        <v>44986</v>
      </c>
      <c r="C91" s="1">
        <v>2023</v>
      </c>
      <c r="D91" s="1">
        <v>3</v>
      </c>
      <c r="E91" s="1">
        <v>4290153</v>
      </c>
      <c r="F91" s="1" t="s">
        <v>8</v>
      </c>
      <c r="G91" s="1" t="s">
        <v>110</v>
      </c>
    </row>
    <row r="92" spans="1:7" x14ac:dyDescent="0.3">
      <c r="A92" s="1" t="s">
        <v>10</v>
      </c>
      <c r="B92" s="3">
        <v>45017</v>
      </c>
      <c r="C92" s="1">
        <v>2023</v>
      </c>
      <c r="D92" s="1">
        <v>4</v>
      </c>
      <c r="E92" s="1">
        <v>3571700</v>
      </c>
      <c r="F92" s="1" t="s">
        <v>8</v>
      </c>
    </row>
    <row r="93" spans="1:7" x14ac:dyDescent="0.3">
      <c r="A93" s="1" t="s">
        <v>10</v>
      </c>
      <c r="B93" s="3">
        <v>45047</v>
      </c>
      <c r="C93" s="1">
        <v>2023</v>
      </c>
      <c r="D93" s="1">
        <v>5</v>
      </c>
      <c r="E93" s="1">
        <v>4727600</v>
      </c>
      <c r="F93" s="1" t="s">
        <v>8</v>
      </c>
    </row>
    <row r="94" spans="1:7" x14ac:dyDescent="0.3">
      <c r="A94" s="1" t="s">
        <v>10</v>
      </c>
      <c r="B94" s="3">
        <v>45078</v>
      </c>
      <c r="C94" s="1">
        <v>2023</v>
      </c>
      <c r="D94" s="1">
        <v>6</v>
      </c>
      <c r="E94" s="1">
        <v>4241200</v>
      </c>
      <c r="F94" s="1" t="s">
        <v>8</v>
      </c>
    </row>
    <row r="95" spans="1:7" x14ac:dyDescent="0.3">
      <c r="A95" s="1" t="s">
        <v>10</v>
      </c>
      <c r="B95" s="3">
        <v>45108</v>
      </c>
      <c r="C95" s="1">
        <v>2023</v>
      </c>
      <c r="D95" s="1">
        <v>7</v>
      </c>
      <c r="E95" s="1">
        <v>3982300</v>
      </c>
      <c r="F95" s="1" t="s">
        <v>8</v>
      </c>
    </row>
    <row r="96" spans="1:7" x14ac:dyDescent="0.3">
      <c r="A96" s="1" t="s">
        <v>10</v>
      </c>
      <c r="B96" s="3">
        <v>45139</v>
      </c>
      <c r="C96" s="1">
        <v>2023</v>
      </c>
      <c r="D96" s="1">
        <v>8</v>
      </c>
      <c r="E96" s="1">
        <v>4433000</v>
      </c>
      <c r="F96" s="1" t="s">
        <v>8</v>
      </c>
    </row>
    <row r="97" spans="1:7" x14ac:dyDescent="0.3">
      <c r="A97" s="1" t="s">
        <v>10</v>
      </c>
      <c r="B97" s="3">
        <v>45170</v>
      </c>
      <c r="C97" s="1">
        <v>2023</v>
      </c>
      <c r="D97" s="1">
        <v>9</v>
      </c>
      <c r="E97" s="1">
        <v>3468500</v>
      </c>
      <c r="F97" s="1" t="s">
        <v>8</v>
      </c>
    </row>
    <row r="98" spans="1:7" x14ac:dyDescent="0.3">
      <c r="A98" s="1" t="s">
        <v>10</v>
      </c>
      <c r="B98" s="3">
        <v>45200</v>
      </c>
      <c r="C98" s="1">
        <v>2023</v>
      </c>
      <c r="D98" s="1">
        <v>10</v>
      </c>
      <c r="E98" s="1">
        <v>4679000</v>
      </c>
      <c r="F98" s="1" t="s">
        <v>8</v>
      </c>
    </row>
    <row r="99" spans="1:7" x14ac:dyDescent="0.3">
      <c r="A99" s="1" t="s">
        <v>10</v>
      </c>
      <c r="B99" s="3">
        <v>45231</v>
      </c>
      <c r="C99" s="1">
        <v>2023</v>
      </c>
      <c r="D99" s="1">
        <v>11</v>
      </c>
      <c r="E99" s="1">
        <v>3888000</v>
      </c>
      <c r="F99" s="1" t="s">
        <v>8</v>
      </c>
    </row>
    <row r="100" spans="1:7" x14ac:dyDescent="0.3">
      <c r="A100" s="1" t="s">
        <v>10</v>
      </c>
      <c r="B100" s="3">
        <v>45261</v>
      </c>
      <c r="C100" s="1">
        <v>2023</v>
      </c>
      <c r="D100" s="1">
        <v>12</v>
      </c>
      <c r="E100" s="1">
        <v>3731800</v>
      </c>
      <c r="F100" s="1" t="s">
        <v>8</v>
      </c>
    </row>
    <row r="101" spans="1:7" x14ac:dyDescent="0.3">
      <c r="A101" s="1" t="s">
        <v>10</v>
      </c>
      <c r="B101" s="3">
        <v>45292</v>
      </c>
      <c r="C101" s="1">
        <v>2024</v>
      </c>
      <c r="D101" s="1">
        <v>1</v>
      </c>
      <c r="E101" s="1">
        <v>3111000</v>
      </c>
      <c r="F101" s="1" t="s">
        <v>8</v>
      </c>
    </row>
    <row r="102" spans="1:7" x14ac:dyDescent="0.3">
      <c r="A102" s="1" t="s">
        <v>10</v>
      </c>
      <c r="B102" s="3">
        <v>45323</v>
      </c>
      <c r="C102" s="1">
        <v>2024</v>
      </c>
      <c r="D102" s="1">
        <v>2</v>
      </c>
      <c r="E102" s="1">
        <v>2854020</v>
      </c>
      <c r="F102" s="1" t="s">
        <v>8</v>
      </c>
    </row>
    <row r="103" spans="1:7" x14ac:dyDescent="0.3">
      <c r="A103" s="1" t="s">
        <v>10</v>
      </c>
      <c r="B103" s="3">
        <v>45352</v>
      </c>
      <c r="C103" s="1">
        <v>2024</v>
      </c>
      <c r="D103" s="1">
        <v>3</v>
      </c>
      <c r="E103" s="1">
        <v>3355250</v>
      </c>
      <c r="F103" s="1" t="s">
        <v>8</v>
      </c>
    </row>
    <row r="104" spans="1:7" x14ac:dyDescent="0.3">
      <c r="A104" s="1" t="s">
        <v>10</v>
      </c>
      <c r="B104" s="3">
        <v>45383</v>
      </c>
      <c r="C104" s="1">
        <v>2024</v>
      </c>
      <c r="D104" s="1">
        <v>4</v>
      </c>
      <c r="E104" s="1">
        <v>3611000</v>
      </c>
      <c r="F104" s="1" t="s">
        <v>8</v>
      </c>
    </row>
    <row r="105" spans="1:7" x14ac:dyDescent="0.3">
      <c r="A105" s="1" t="s">
        <v>10</v>
      </c>
      <c r="B105" s="3">
        <v>45413</v>
      </c>
      <c r="C105" s="1">
        <v>2024</v>
      </c>
      <c r="D105" s="1">
        <v>5</v>
      </c>
      <c r="E105" s="1">
        <v>2966300</v>
      </c>
      <c r="F105" s="1" t="s">
        <v>8</v>
      </c>
    </row>
    <row r="106" spans="1:7" x14ac:dyDescent="0.3">
      <c r="A106" s="1" t="s">
        <v>10</v>
      </c>
      <c r="B106" s="3">
        <v>45444</v>
      </c>
      <c r="C106" s="1">
        <v>2024</v>
      </c>
      <c r="D106" s="1">
        <v>6</v>
      </c>
      <c r="E106" s="1">
        <v>2133700</v>
      </c>
      <c r="F106" s="1" t="s">
        <v>8</v>
      </c>
      <c r="G106" s="1" t="s">
        <v>11</v>
      </c>
    </row>
    <row r="107" spans="1:7" x14ac:dyDescent="0.3">
      <c r="A107" s="1" t="s">
        <v>10</v>
      </c>
      <c r="B107" s="3">
        <v>45474</v>
      </c>
      <c r="C107" s="1">
        <v>2024</v>
      </c>
      <c r="D107" s="1">
        <v>7</v>
      </c>
      <c r="E107" s="1">
        <v>3240000</v>
      </c>
      <c r="F107" s="1" t="s">
        <v>8</v>
      </c>
    </row>
    <row r="108" spans="1:7" x14ac:dyDescent="0.3">
      <c r="A108" s="1" t="s">
        <v>10</v>
      </c>
      <c r="B108" s="3">
        <v>45505</v>
      </c>
      <c r="C108" s="1">
        <v>2024</v>
      </c>
      <c r="D108" s="1">
        <v>8</v>
      </c>
      <c r="E108" s="1">
        <v>2580950</v>
      </c>
      <c r="F108" s="1" t="s">
        <v>8</v>
      </c>
    </row>
    <row r="109" spans="1:7" x14ac:dyDescent="0.3">
      <c r="A109" s="1" t="s">
        <v>10</v>
      </c>
      <c r="B109" s="3">
        <v>45536</v>
      </c>
      <c r="C109" s="1">
        <v>2024</v>
      </c>
      <c r="D109" s="1">
        <v>9</v>
      </c>
      <c r="E109" s="1">
        <v>2449500</v>
      </c>
      <c r="F109" s="1" t="s">
        <v>8</v>
      </c>
    </row>
    <row r="110" spans="1:7" x14ac:dyDescent="0.3">
      <c r="A110" s="1" t="s">
        <v>10</v>
      </c>
      <c r="B110" s="3">
        <v>45566</v>
      </c>
      <c r="C110" s="1">
        <v>2024</v>
      </c>
      <c r="D110" s="1">
        <v>10</v>
      </c>
      <c r="E110" s="1">
        <v>3330700</v>
      </c>
      <c r="F110" s="1" t="s">
        <v>8</v>
      </c>
    </row>
    <row r="111" spans="1:7" x14ac:dyDescent="0.3">
      <c r="A111" s="1" t="s">
        <v>10</v>
      </c>
      <c r="B111" s="3">
        <v>45597</v>
      </c>
      <c r="C111" s="1">
        <v>2024</v>
      </c>
      <c r="D111" s="1">
        <v>11</v>
      </c>
      <c r="E111" s="1">
        <v>2509710</v>
      </c>
      <c r="F111" s="1" t="s">
        <v>8</v>
      </c>
    </row>
    <row r="112" spans="1:7" x14ac:dyDescent="0.3">
      <c r="A112" s="1" t="s">
        <v>10</v>
      </c>
      <c r="B112" s="3">
        <v>45627</v>
      </c>
      <c r="C112" s="1">
        <v>2024</v>
      </c>
      <c r="D112" s="1">
        <v>12</v>
      </c>
      <c r="E112" s="1">
        <v>2263400</v>
      </c>
      <c r="F112" s="1" t="s">
        <v>8</v>
      </c>
    </row>
    <row r="113" spans="1:6" x14ac:dyDescent="0.3">
      <c r="A113" s="1" t="s">
        <v>10</v>
      </c>
      <c r="B113" s="3">
        <v>45658</v>
      </c>
      <c r="C113" s="1">
        <v>2025</v>
      </c>
      <c r="D113" s="1">
        <v>1</v>
      </c>
      <c r="E113" s="1">
        <v>3256600</v>
      </c>
      <c r="F113" s="1" t="s">
        <v>8</v>
      </c>
    </row>
    <row r="114" spans="1:6" x14ac:dyDescent="0.3">
      <c r="A114" s="1" t="s">
        <v>10</v>
      </c>
      <c r="B114" s="3">
        <v>45689</v>
      </c>
      <c r="C114" s="1">
        <v>2025</v>
      </c>
      <c r="D114" s="1">
        <v>2</v>
      </c>
      <c r="E114" s="1">
        <v>2854000</v>
      </c>
      <c r="F114" s="1" t="s">
        <v>8</v>
      </c>
    </row>
    <row r="115" spans="1:6" x14ac:dyDescent="0.3">
      <c r="A115" s="1" t="s">
        <v>10</v>
      </c>
      <c r="B115" s="3">
        <v>45717</v>
      </c>
      <c r="C115" s="1">
        <v>2025</v>
      </c>
      <c r="D115" s="1">
        <v>3</v>
      </c>
      <c r="E115" s="1">
        <v>3478100</v>
      </c>
      <c r="F115" s="1" t="s">
        <v>8</v>
      </c>
    </row>
    <row r="116" spans="1:6" x14ac:dyDescent="0.3">
      <c r="A116" s="1" t="s">
        <v>10</v>
      </c>
      <c r="B116" s="3">
        <v>45748</v>
      </c>
      <c r="C116" s="1">
        <v>2025</v>
      </c>
      <c r="D116" s="1">
        <v>4</v>
      </c>
      <c r="E116" s="1">
        <v>3232998</v>
      </c>
      <c r="F116" s="1" t="s">
        <v>8</v>
      </c>
    </row>
    <row r="117" spans="1:6" x14ac:dyDescent="0.3">
      <c r="A117" s="1" t="s">
        <v>10</v>
      </c>
      <c r="B117" s="3">
        <v>45778</v>
      </c>
      <c r="C117" s="1">
        <v>2025</v>
      </c>
      <c r="D117" s="1">
        <v>5</v>
      </c>
      <c r="E117" s="1">
        <v>3136569</v>
      </c>
      <c r="F117" s="1" t="s">
        <v>8</v>
      </c>
    </row>
    <row r="118" spans="1:6" x14ac:dyDescent="0.3">
      <c r="A118" s="1" t="s">
        <v>10</v>
      </c>
      <c r="B118" s="3">
        <v>45809</v>
      </c>
      <c r="C118" s="1">
        <v>2025</v>
      </c>
      <c r="D118" s="1">
        <v>6</v>
      </c>
      <c r="E118" s="1">
        <v>3564929</v>
      </c>
      <c r="F118" s="1" t="s">
        <v>8</v>
      </c>
    </row>
    <row r="119" spans="1:6" x14ac:dyDescent="0.3">
      <c r="A119" s="1" t="s">
        <v>10</v>
      </c>
      <c r="B119" s="3">
        <v>45839</v>
      </c>
      <c r="C119" s="1">
        <v>2025</v>
      </c>
      <c r="D119" s="1">
        <v>7</v>
      </c>
      <c r="E119" s="1">
        <v>3459400</v>
      </c>
      <c r="F119" s="1" t="s">
        <v>8</v>
      </c>
    </row>
    <row r="120" spans="1:6" x14ac:dyDescent="0.3">
      <c r="A120" s="1" t="s">
        <v>10</v>
      </c>
      <c r="B120" s="3">
        <v>45870</v>
      </c>
      <c r="C120" s="1">
        <v>2025</v>
      </c>
      <c r="D120" s="1">
        <v>8</v>
      </c>
      <c r="E120" s="1">
        <v>3630619</v>
      </c>
      <c r="F120" s="1" t="s">
        <v>8</v>
      </c>
    </row>
    <row r="121" spans="1:6" x14ac:dyDescent="0.3">
      <c r="A121" s="1" t="s">
        <v>10</v>
      </c>
      <c r="B121" s="3">
        <v>45901</v>
      </c>
      <c r="C121" s="1">
        <v>2025</v>
      </c>
      <c r="D121" s="1">
        <v>9</v>
      </c>
      <c r="E121" s="1">
        <v>3226869</v>
      </c>
      <c r="F121" s="1" t="s">
        <v>8</v>
      </c>
    </row>
    <row r="122" spans="1:6" x14ac:dyDescent="0.3">
      <c r="A122" s="1" t="s">
        <v>10</v>
      </c>
      <c r="B122" s="3">
        <v>45931</v>
      </c>
      <c r="C122" s="1">
        <v>2025</v>
      </c>
      <c r="D122" s="1">
        <v>10</v>
      </c>
      <c r="E122" s="1">
        <v>3186399</v>
      </c>
      <c r="F122" s="1" t="s">
        <v>8</v>
      </c>
    </row>
    <row r="123" spans="1:6" x14ac:dyDescent="0.3">
      <c r="A123" s="1" t="s">
        <v>10</v>
      </c>
      <c r="B123" s="3">
        <v>45962</v>
      </c>
      <c r="C123" s="1">
        <v>2025</v>
      </c>
      <c r="D123" s="1">
        <v>11</v>
      </c>
      <c r="E123" s="1">
        <v>3079598</v>
      </c>
      <c r="F123" s="1" t="s">
        <v>8</v>
      </c>
    </row>
    <row r="124" spans="1:6" x14ac:dyDescent="0.3">
      <c r="A124" s="1" t="s">
        <v>10</v>
      </c>
      <c r="B124" s="3">
        <v>45992</v>
      </c>
      <c r="C124" s="1">
        <v>2025</v>
      </c>
      <c r="D124" s="1">
        <v>12</v>
      </c>
      <c r="E124" s="1">
        <v>2566800</v>
      </c>
      <c r="F12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009D-A279-4675-8660-C119BE2593E7}">
  <dimension ref="B2:G29"/>
  <sheetViews>
    <sheetView workbookViewId="0">
      <selection activeCell="H13" sqref="H13"/>
    </sheetView>
  </sheetViews>
  <sheetFormatPr baseColWidth="10" defaultRowHeight="14.4" x14ac:dyDescent="0.3"/>
  <cols>
    <col min="2" max="2" width="16.109375" customWidth="1"/>
    <col min="3" max="3" width="13.109375" customWidth="1"/>
    <col min="4" max="4" width="13" customWidth="1"/>
    <col min="5" max="5" width="21.109375" customWidth="1"/>
    <col min="6" max="6" width="22.109375" customWidth="1"/>
  </cols>
  <sheetData>
    <row r="2" spans="2:7" ht="36.6" customHeight="1" thickBot="1" x14ac:dyDescent="0.35"/>
    <row r="3" spans="2:7" ht="62.4" customHeight="1" thickBot="1" x14ac:dyDescent="0.35">
      <c r="B3" s="26" t="s">
        <v>2</v>
      </c>
      <c r="C3" s="27" t="s">
        <v>0</v>
      </c>
      <c r="D3" s="27" t="s">
        <v>12</v>
      </c>
      <c r="E3" s="27" t="s">
        <v>13</v>
      </c>
      <c r="F3" s="28" t="s">
        <v>14</v>
      </c>
      <c r="G3" s="5"/>
    </row>
    <row r="4" spans="2:7" x14ac:dyDescent="0.3">
      <c r="B4" s="9">
        <v>2020</v>
      </c>
      <c r="C4" s="5" t="s">
        <v>7</v>
      </c>
      <c r="D4" s="10">
        <v>390000</v>
      </c>
      <c r="E4" s="10">
        <v>32500</v>
      </c>
      <c r="F4" s="11" t="s">
        <v>15</v>
      </c>
      <c r="G4" s="5"/>
    </row>
    <row r="5" spans="2:7" x14ac:dyDescent="0.3">
      <c r="B5" s="9">
        <v>2021</v>
      </c>
      <c r="C5" s="5" t="s">
        <v>7</v>
      </c>
      <c r="D5" s="10">
        <v>15622053</v>
      </c>
      <c r="E5" s="10">
        <v>1301838</v>
      </c>
      <c r="F5" s="12">
        <v>39.03</v>
      </c>
      <c r="G5" s="5"/>
    </row>
    <row r="6" spans="2:7" x14ac:dyDescent="0.3">
      <c r="B6" s="9">
        <v>2022</v>
      </c>
      <c r="C6" s="5" t="s">
        <v>7</v>
      </c>
      <c r="D6" s="10">
        <v>33829817</v>
      </c>
      <c r="E6" s="10">
        <v>2819151</v>
      </c>
      <c r="F6" s="12">
        <v>1.1599999999999999</v>
      </c>
      <c r="G6" s="5"/>
    </row>
    <row r="7" spans="2:7" x14ac:dyDescent="0.3">
      <c r="B7" s="13">
        <v>2023</v>
      </c>
      <c r="C7" s="14" t="s">
        <v>7</v>
      </c>
      <c r="D7" s="15">
        <v>45073473</v>
      </c>
      <c r="E7" s="15">
        <v>3756123</v>
      </c>
      <c r="F7" s="16">
        <v>0.33</v>
      </c>
      <c r="G7" s="5"/>
    </row>
    <row r="8" spans="2:7" x14ac:dyDescent="0.3">
      <c r="B8" s="9">
        <v>2024</v>
      </c>
      <c r="C8" s="5" t="s">
        <v>7</v>
      </c>
      <c r="D8" s="10">
        <v>43080250</v>
      </c>
      <c r="E8" s="10">
        <v>3590021</v>
      </c>
      <c r="F8" s="11" t="s">
        <v>16</v>
      </c>
      <c r="G8" s="5"/>
    </row>
    <row r="9" spans="2:7" x14ac:dyDescent="0.3">
      <c r="B9" s="17">
        <v>2025</v>
      </c>
      <c r="C9" s="18" t="s">
        <v>7</v>
      </c>
      <c r="D9" s="19">
        <v>49629543</v>
      </c>
      <c r="E9" s="19">
        <v>4135795</v>
      </c>
      <c r="F9" s="20" t="s">
        <v>17</v>
      </c>
      <c r="G9" s="5"/>
    </row>
    <row r="10" spans="2:7" x14ac:dyDescent="0.3">
      <c r="B10" s="9">
        <v>2021</v>
      </c>
      <c r="C10" s="5" t="s">
        <v>10</v>
      </c>
      <c r="D10" s="10">
        <v>2266001</v>
      </c>
      <c r="E10" s="10">
        <v>755334</v>
      </c>
      <c r="F10" s="11" t="s">
        <v>15</v>
      </c>
      <c r="G10" s="5"/>
    </row>
    <row r="11" spans="2:7" x14ac:dyDescent="0.3">
      <c r="B11" s="9">
        <v>2022</v>
      </c>
      <c r="C11" s="5" t="s">
        <v>10</v>
      </c>
      <c r="D11" s="10">
        <v>20161825</v>
      </c>
      <c r="E11" s="10">
        <v>1680152</v>
      </c>
      <c r="F11" s="12">
        <v>7.9</v>
      </c>
      <c r="G11" s="5"/>
    </row>
    <row r="12" spans="2:7" x14ac:dyDescent="0.3">
      <c r="B12" s="17">
        <v>2023</v>
      </c>
      <c r="C12" s="18" t="s">
        <v>10</v>
      </c>
      <c r="D12" s="19">
        <v>42072295</v>
      </c>
      <c r="E12" s="19">
        <v>3506025</v>
      </c>
      <c r="F12" s="21">
        <v>1.0900000000000001</v>
      </c>
      <c r="G12" s="5"/>
    </row>
    <row r="13" spans="2:7" x14ac:dyDescent="0.3">
      <c r="B13" s="9">
        <v>2024</v>
      </c>
      <c r="C13" s="5" t="s">
        <v>10</v>
      </c>
      <c r="D13" s="10">
        <v>36255190</v>
      </c>
      <c r="E13" s="10">
        <v>3021266</v>
      </c>
      <c r="F13" s="11" t="s">
        <v>18</v>
      </c>
      <c r="G13" s="5"/>
    </row>
    <row r="14" spans="2:7" ht="15" thickBot="1" x14ac:dyDescent="0.35">
      <c r="B14" s="22">
        <v>2025</v>
      </c>
      <c r="C14" s="23" t="s">
        <v>10</v>
      </c>
      <c r="D14" s="24">
        <v>38720114</v>
      </c>
      <c r="E14" s="24">
        <v>3520010</v>
      </c>
      <c r="F14" s="25" t="s">
        <v>19</v>
      </c>
      <c r="G14" s="5"/>
    </row>
    <row r="15" spans="2:7" x14ac:dyDescent="0.3">
      <c r="B15" s="5"/>
      <c r="C15" s="5"/>
      <c r="D15" s="6"/>
      <c r="E15" s="6"/>
      <c r="F15" s="5" t="s">
        <v>21</v>
      </c>
      <c r="G15" s="5"/>
    </row>
    <row r="16" spans="2:7" x14ac:dyDescent="0.3">
      <c r="B16" s="5"/>
      <c r="C16" s="5"/>
      <c r="D16" s="6"/>
      <c r="E16" s="6"/>
      <c r="F16" s="5"/>
      <c r="G16" s="5"/>
    </row>
    <row r="17" spans="2:7" x14ac:dyDescent="0.3">
      <c r="B17" s="5"/>
      <c r="C17" s="5"/>
      <c r="D17" s="6"/>
      <c r="E17" s="6"/>
      <c r="F17" s="5"/>
      <c r="G17" s="5"/>
    </row>
    <row r="18" spans="2:7" x14ac:dyDescent="0.3">
      <c r="B18" s="5"/>
      <c r="C18" s="5"/>
      <c r="D18" s="6"/>
      <c r="E18" s="6"/>
      <c r="F18" s="5"/>
      <c r="G18" s="5"/>
    </row>
    <row r="19" spans="2:7" x14ac:dyDescent="0.3">
      <c r="B19" s="5"/>
      <c r="C19" s="5"/>
      <c r="D19" s="6"/>
      <c r="E19" s="6"/>
      <c r="F19" s="5"/>
      <c r="G19" s="5"/>
    </row>
    <row r="20" spans="2:7" x14ac:dyDescent="0.3">
      <c r="B20" s="29" t="s">
        <v>108</v>
      </c>
      <c r="C20" s="5"/>
      <c r="D20" s="6"/>
      <c r="E20" s="6"/>
      <c r="F20" s="5"/>
      <c r="G20" s="5"/>
    </row>
    <row r="21" spans="2:7" ht="15" thickBot="1" x14ac:dyDescent="0.35">
      <c r="B21" s="5"/>
      <c r="C21" s="5"/>
      <c r="D21" s="5"/>
      <c r="E21" s="5"/>
      <c r="F21" s="5"/>
      <c r="G21" s="5"/>
    </row>
    <row r="22" spans="2:7" x14ac:dyDescent="0.3">
      <c r="B22" s="7">
        <v>2020</v>
      </c>
      <c r="C22" s="8"/>
      <c r="D22" s="30">
        <f>+D4</f>
        <v>390000</v>
      </c>
      <c r="E22" s="5"/>
      <c r="F22" s="5"/>
      <c r="G22" s="5"/>
    </row>
    <row r="23" spans="2:7" x14ac:dyDescent="0.3">
      <c r="B23" s="9">
        <v>2021</v>
      </c>
      <c r="C23" s="5"/>
      <c r="D23" s="31">
        <f>+D5+D10</f>
        <v>17888054</v>
      </c>
      <c r="E23" s="5"/>
      <c r="F23" s="5"/>
      <c r="G23" s="5"/>
    </row>
    <row r="24" spans="2:7" x14ac:dyDescent="0.3">
      <c r="B24" s="9">
        <v>2022</v>
      </c>
      <c r="C24" s="5"/>
      <c r="D24" s="31">
        <f>+D6+D11</f>
        <v>53991642</v>
      </c>
      <c r="E24" s="5"/>
      <c r="F24" s="5"/>
      <c r="G24" s="5"/>
    </row>
    <row r="25" spans="2:7" x14ac:dyDescent="0.3">
      <c r="B25" s="9">
        <v>2023</v>
      </c>
      <c r="C25" s="5"/>
      <c r="D25" s="31">
        <f>+D7+D12</f>
        <v>87145768</v>
      </c>
      <c r="E25" s="5"/>
      <c r="F25" s="5"/>
      <c r="G25" s="5"/>
    </row>
    <row r="26" spans="2:7" x14ac:dyDescent="0.3">
      <c r="B26" s="9">
        <v>2024</v>
      </c>
      <c r="C26" s="5"/>
      <c r="D26" s="31">
        <f>+D8+D13</f>
        <v>79335440</v>
      </c>
      <c r="E26" s="5"/>
      <c r="F26" s="5"/>
      <c r="G26" s="5"/>
    </row>
    <row r="27" spans="2:7" x14ac:dyDescent="0.3">
      <c r="B27" s="9">
        <v>2025</v>
      </c>
      <c r="C27" s="5"/>
      <c r="D27" s="31">
        <f>+D9+D14</f>
        <v>88349657</v>
      </c>
      <c r="E27" s="5"/>
      <c r="F27" s="5"/>
      <c r="G27" s="5"/>
    </row>
    <row r="28" spans="2:7" ht="15" thickBot="1" x14ac:dyDescent="0.35">
      <c r="B28" s="9"/>
      <c r="C28" s="5"/>
      <c r="D28" s="11"/>
      <c r="E28" s="5"/>
      <c r="F28" s="5"/>
      <c r="G28" s="5"/>
    </row>
    <row r="29" spans="2:7" ht="24.6" customHeight="1" thickBot="1" x14ac:dyDescent="0.35">
      <c r="B29" s="32" t="s">
        <v>109</v>
      </c>
      <c r="C29" s="33"/>
      <c r="D29" s="34">
        <f>SUM(D22:D28)</f>
        <v>327100561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1C1C-F7EC-47E7-85A6-1344B7BC1018}">
  <dimension ref="A1:F16"/>
  <sheetViews>
    <sheetView workbookViewId="0">
      <selection activeCell="B24" sqref="B24"/>
    </sheetView>
  </sheetViews>
  <sheetFormatPr baseColWidth="10" defaultRowHeight="14.4" x14ac:dyDescent="0.3"/>
  <cols>
    <col min="2" max="2" width="14.33203125" customWidth="1"/>
    <col min="3" max="3" width="16.33203125" customWidth="1"/>
    <col min="4" max="4" width="15.109375" customWidth="1"/>
    <col min="5" max="5" width="14.109375" customWidth="1"/>
    <col min="6" max="6" width="25.6640625" customWidth="1"/>
  </cols>
  <sheetData>
    <row r="1" spans="1:6" ht="15" thickBot="1" x14ac:dyDescent="0.35"/>
    <row r="2" spans="1:6" ht="45" customHeight="1" thickBot="1" x14ac:dyDescent="0.35">
      <c r="A2" s="36"/>
      <c r="B2" s="39" t="s">
        <v>3</v>
      </c>
      <c r="C2" s="40" t="s">
        <v>7</v>
      </c>
      <c r="D2" s="40" t="s">
        <v>10</v>
      </c>
      <c r="E2" s="40" t="s">
        <v>72</v>
      </c>
      <c r="F2" s="41" t="s">
        <v>6</v>
      </c>
    </row>
    <row r="3" spans="1:6" x14ac:dyDescent="0.3">
      <c r="B3" s="42" t="s">
        <v>25</v>
      </c>
      <c r="C3" s="37">
        <v>4450000</v>
      </c>
      <c r="D3" s="37">
        <v>3520000</v>
      </c>
      <c r="E3" s="37">
        <v>7970000</v>
      </c>
      <c r="F3" s="38" t="s">
        <v>73</v>
      </c>
    </row>
    <row r="4" spans="1:6" x14ac:dyDescent="0.3">
      <c r="B4" s="42" t="s">
        <v>29</v>
      </c>
      <c r="C4" s="37">
        <v>3680000</v>
      </c>
      <c r="D4" s="37">
        <v>3050000</v>
      </c>
      <c r="E4" s="37">
        <v>6730000</v>
      </c>
      <c r="F4" s="38" t="s">
        <v>74</v>
      </c>
    </row>
    <row r="5" spans="1:6" x14ac:dyDescent="0.3">
      <c r="B5" s="42" t="s">
        <v>33</v>
      </c>
      <c r="C5" s="37">
        <v>5120000</v>
      </c>
      <c r="D5" s="37">
        <v>4300000</v>
      </c>
      <c r="E5" s="37">
        <v>9420000</v>
      </c>
      <c r="F5" s="47" t="s">
        <v>75</v>
      </c>
    </row>
    <row r="6" spans="1:6" x14ac:dyDescent="0.3">
      <c r="B6" s="42" t="s">
        <v>37</v>
      </c>
      <c r="C6" s="37">
        <v>4780000</v>
      </c>
      <c r="D6" s="37">
        <v>3770000</v>
      </c>
      <c r="E6" s="37">
        <v>8550000</v>
      </c>
      <c r="F6" s="38" t="s">
        <v>76</v>
      </c>
    </row>
    <row r="7" spans="1:6" x14ac:dyDescent="0.3">
      <c r="B7" s="42" t="s">
        <v>41</v>
      </c>
      <c r="C7" s="37">
        <v>4420000</v>
      </c>
      <c r="D7" s="37">
        <v>3810000</v>
      </c>
      <c r="E7" s="37">
        <v>8230000</v>
      </c>
      <c r="F7" s="38" t="s">
        <v>77</v>
      </c>
    </row>
    <row r="8" spans="1:6" x14ac:dyDescent="0.3">
      <c r="B8" s="42" t="s">
        <v>45</v>
      </c>
      <c r="C8" s="37">
        <v>4480000</v>
      </c>
      <c r="D8" s="37">
        <v>3100000</v>
      </c>
      <c r="E8" s="37">
        <v>7580000</v>
      </c>
      <c r="F8" s="38" t="s">
        <v>78</v>
      </c>
    </row>
    <row r="9" spans="1:6" x14ac:dyDescent="0.3">
      <c r="B9" s="42" t="s">
        <v>49</v>
      </c>
      <c r="C9" s="37">
        <v>4820000</v>
      </c>
      <c r="D9" s="37">
        <v>3920000</v>
      </c>
      <c r="E9" s="37">
        <v>8740000</v>
      </c>
      <c r="F9" s="38" t="s">
        <v>79</v>
      </c>
    </row>
    <row r="10" spans="1:6" x14ac:dyDescent="0.3">
      <c r="B10" s="42" t="s">
        <v>53</v>
      </c>
      <c r="C10" s="37">
        <v>4580000</v>
      </c>
      <c r="D10" s="37">
        <v>3400000</v>
      </c>
      <c r="E10" s="37">
        <v>7980000</v>
      </c>
      <c r="F10" s="38" t="s">
        <v>80</v>
      </c>
    </row>
    <row r="11" spans="1:6" x14ac:dyDescent="0.3">
      <c r="B11" s="42" t="s">
        <v>56</v>
      </c>
      <c r="C11" s="37">
        <v>4200000</v>
      </c>
      <c r="D11" s="37">
        <v>3280000</v>
      </c>
      <c r="E11" s="37">
        <v>7480000</v>
      </c>
      <c r="F11" s="38" t="s">
        <v>74</v>
      </c>
    </row>
    <row r="12" spans="1:6" x14ac:dyDescent="0.3">
      <c r="B12" s="42" t="s">
        <v>60</v>
      </c>
      <c r="C12" s="37">
        <v>5200000</v>
      </c>
      <c r="D12" s="37">
        <v>4100000</v>
      </c>
      <c r="E12" s="37">
        <v>9300000</v>
      </c>
      <c r="F12" s="47" t="s">
        <v>81</v>
      </c>
    </row>
    <row r="13" spans="1:6" x14ac:dyDescent="0.3">
      <c r="B13" s="42" t="s">
        <v>64</v>
      </c>
      <c r="C13" s="37">
        <v>5600000</v>
      </c>
      <c r="D13" s="37">
        <v>4500000</v>
      </c>
      <c r="E13" s="37">
        <v>10100000</v>
      </c>
      <c r="F13" s="38" t="s">
        <v>82</v>
      </c>
    </row>
    <row r="14" spans="1:6" ht="15" thickBot="1" x14ac:dyDescent="0.35">
      <c r="B14" s="42" t="s">
        <v>68</v>
      </c>
      <c r="C14" s="37">
        <v>4450000</v>
      </c>
      <c r="D14" s="37">
        <v>3950000</v>
      </c>
      <c r="E14" s="37">
        <v>8400000</v>
      </c>
      <c r="F14" s="38" t="s">
        <v>83</v>
      </c>
    </row>
    <row r="15" spans="1:6" ht="36.6" customHeight="1" thickBot="1" x14ac:dyDescent="0.35">
      <c r="B15" s="43" t="s">
        <v>84</v>
      </c>
      <c r="C15" s="44">
        <v>53800000</v>
      </c>
      <c r="D15" s="44">
        <v>44800000</v>
      </c>
      <c r="E15" s="44">
        <v>98600000</v>
      </c>
      <c r="F15" s="45"/>
    </row>
    <row r="16" spans="1:6" x14ac:dyDescent="0.3">
      <c r="B16" s="1"/>
      <c r="C16" s="4"/>
      <c r="D16" s="4"/>
      <c r="E16" s="4"/>
      <c r="F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D651-2B1C-4A6D-8C8A-9203D7E86384}">
  <dimension ref="B4:G19"/>
  <sheetViews>
    <sheetView workbookViewId="0">
      <selection activeCell="G11" sqref="G11"/>
    </sheetView>
  </sheetViews>
  <sheetFormatPr baseColWidth="10" defaultRowHeight="14.4" x14ac:dyDescent="0.3"/>
  <cols>
    <col min="2" max="2" width="13.33203125" customWidth="1"/>
    <col min="3" max="3" width="22.5546875" customWidth="1"/>
    <col min="4" max="4" width="29.33203125" customWidth="1"/>
    <col min="5" max="5" width="24.21875" customWidth="1"/>
  </cols>
  <sheetData>
    <row r="4" spans="2:7" ht="35.4" customHeight="1" x14ac:dyDescent="0.3">
      <c r="B4" s="1" t="s">
        <v>3</v>
      </c>
      <c r="C4" s="1" t="s">
        <v>22</v>
      </c>
      <c r="D4" s="1" t="s">
        <v>23</v>
      </c>
      <c r="E4" s="1" t="s">
        <v>24</v>
      </c>
      <c r="F4" s="1"/>
      <c r="G4" s="1"/>
    </row>
    <row r="5" spans="2:7" x14ac:dyDescent="0.3">
      <c r="B5" s="1" t="s">
        <v>25</v>
      </c>
      <c r="C5" s="1" t="s">
        <v>26</v>
      </c>
      <c r="D5" s="1" t="s">
        <v>27</v>
      </c>
      <c r="E5" s="46" t="s">
        <v>28</v>
      </c>
      <c r="F5" s="1"/>
      <c r="G5" s="1"/>
    </row>
    <row r="6" spans="2:7" x14ac:dyDescent="0.3">
      <c r="B6" s="1" t="s">
        <v>29</v>
      </c>
      <c r="C6" s="1" t="s">
        <v>30</v>
      </c>
      <c r="D6" s="1" t="s">
        <v>31</v>
      </c>
      <c r="E6" s="1" t="s">
        <v>32</v>
      </c>
      <c r="F6" s="1"/>
      <c r="G6" s="1"/>
    </row>
    <row r="7" spans="2:7" x14ac:dyDescent="0.3">
      <c r="B7" s="1" t="s">
        <v>33</v>
      </c>
      <c r="C7" s="1" t="s">
        <v>34</v>
      </c>
      <c r="D7" s="1" t="s">
        <v>35</v>
      </c>
      <c r="E7" s="35" t="s">
        <v>36</v>
      </c>
      <c r="F7" s="1"/>
      <c r="G7" s="1"/>
    </row>
    <row r="8" spans="2:7" x14ac:dyDescent="0.3">
      <c r="B8" s="1" t="s">
        <v>37</v>
      </c>
      <c r="C8" s="1" t="s">
        <v>38</v>
      </c>
      <c r="D8" s="1" t="s">
        <v>39</v>
      </c>
      <c r="E8" s="1" t="s">
        <v>40</v>
      </c>
      <c r="F8" s="1"/>
      <c r="G8" s="1"/>
    </row>
    <row r="9" spans="2:7" x14ac:dyDescent="0.3">
      <c r="B9" s="1" t="s">
        <v>41</v>
      </c>
      <c r="C9" s="1" t="s">
        <v>42</v>
      </c>
      <c r="D9" s="1" t="s">
        <v>43</v>
      </c>
      <c r="E9" s="1" t="s">
        <v>44</v>
      </c>
      <c r="F9" s="1"/>
      <c r="G9" s="1"/>
    </row>
    <row r="10" spans="2:7" x14ac:dyDescent="0.3">
      <c r="B10" s="1" t="s">
        <v>45</v>
      </c>
      <c r="C10" s="1" t="s">
        <v>46</v>
      </c>
      <c r="D10" s="1" t="s">
        <v>47</v>
      </c>
      <c r="E10" s="1" t="s">
        <v>48</v>
      </c>
      <c r="F10" s="1"/>
      <c r="G10" s="1"/>
    </row>
    <row r="11" spans="2:7" x14ac:dyDescent="0.3">
      <c r="B11" s="1" t="s">
        <v>49</v>
      </c>
      <c r="C11" s="1" t="s">
        <v>50</v>
      </c>
      <c r="D11" s="1" t="s">
        <v>51</v>
      </c>
      <c r="E11" s="1" t="s">
        <v>52</v>
      </c>
      <c r="F11" s="1"/>
      <c r="G11" s="1"/>
    </row>
    <row r="12" spans="2:7" x14ac:dyDescent="0.3">
      <c r="B12" s="1" t="s">
        <v>53</v>
      </c>
      <c r="C12" s="1" t="s">
        <v>54</v>
      </c>
      <c r="D12" s="1" t="s">
        <v>55</v>
      </c>
      <c r="E12" s="1" t="s">
        <v>39</v>
      </c>
      <c r="F12" s="1"/>
      <c r="G12" s="1"/>
    </row>
    <row r="13" spans="2:7" x14ac:dyDescent="0.3">
      <c r="B13" s="1" t="s">
        <v>56</v>
      </c>
      <c r="C13" s="1" t="s">
        <v>57</v>
      </c>
      <c r="D13" s="1" t="s">
        <v>58</v>
      </c>
      <c r="E13" s="1" t="s">
        <v>59</v>
      </c>
      <c r="F13" s="1"/>
      <c r="G13" s="1"/>
    </row>
    <row r="14" spans="2:7" x14ac:dyDescent="0.3">
      <c r="B14" s="1" t="s">
        <v>60</v>
      </c>
      <c r="C14" s="1" t="s">
        <v>61</v>
      </c>
      <c r="D14" s="1" t="s">
        <v>62</v>
      </c>
      <c r="E14" s="35" t="s">
        <v>63</v>
      </c>
      <c r="F14" s="1"/>
      <c r="G14" s="1"/>
    </row>
    <row r="15" spans="2:7" x14ac:dyDescent="0.3">
      <c r="B15" s="1" t="s">
        <v>64</v>
      </c>
      <c r="C15" s="1" t="s">
        <v>65</v>
      </c>
      <c r="D15" s="1" t="s">
        <v>66</v>
      </c>
      <c r="E15" s="1" t="s">
        <v>67</v>
      </c>
      <c r="F15" s="1"/>
      <c r="G15" s="1"/>
    </row>
    <row r="16" spans="2:7" x14ac:dyDescent="0.3">
      <c r="B16" s="1" t="s">
        <v>68</v>
      </c>
      <c r="C16" s="1" t="s">
        <v>69</v>
      </c>
      <c r="D16" s="1" t="s">
        <v>70</v>
      </c>
      <c r="E16" s="1" t="s">
        <v>71</v>
      </c>
      <c r="F16" s="1"/>
      <c r="G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58EA-768C-4A50-BB4D-E23AD834DAC1}">
  <dimension ref="A1:D5"/>
  <sheetViews>
    <sheetView workbookViewId="0">
      <selection activeCell="D19" sqref="D19"/>
    </sheetView>
  </sheetViews>
  <sheetFormatPr baseColWidth="10" defaultRowHeight="14.4" x14ac:dyDescent="0.3"/>
  <cols>
    <col min="2" max="2" width="23" customWidth="1"/>
    <col min="3" max="3" width="31.109375" customWidth="1"/>
    <col min="4" max="4" width="35.33203125" customWidth="1"/>
  </cols>
  <sheetData>
    <row r="1" spans="1:4" x14ac:dyDescent="0.3">
      <c r="A1" s="1" t="s">
        <v>1</v>
      </c>
      <c r="B1" s="1" t="s">
        <v>0</v>
      </c>
      <c r="C1" s="1" t="s">
        <v>85</v>
      </c>
      <c r="D1" s="1" t="s">
        <v>86</v>
      </c>
    </row>
    <row r="2" spans="1:4" x14ac:dyDescent="0.3">
      <c r="A2" s="3">
        <v>44958</v>
      </c>
      <c r="B2" s="1" t="s">
        <v>10</v>
      </c>
      <c r="C2" s="1" t="s">
        <v>87</v>
      </c>
      <c r="D2" s="1" t="s">
        <v>88</v>
      </c>
    </row>
    <row r="3" spans="1:4" x14ac:dyDescent="0.3">
      <c r="A3" s="3">
        <v>45444</v>
      </c>
      <c r="B3" s="1" t="s">
        <v>10</v>
      </c>
      <c r="C3" s="1" t="s">
        <v>89</v>
      </c>
      <c r="D3" s="1" t="s">
        <v>90</v>
      </c>
    </row>
    <row r="4" spans="1:4" x14ac:dyDescent="0.3">
      <c r="A4" s="3">
        <v>45717</v>
      </c>
      <c r="B4" s="1" t="s">
        <v>7</v>
      </c>
      <c r="C4" s="1" t="s">
        <v>91</v>
      </c>
      <c r="D4" s="1" t="s">
        <v>92</v>
      </c>
    </row>
    <row r="5" spans="1:4" x14ac:dyDescent="0.3">
      <c r="A5" s="3">
        <v>46082</v>
      </c>
      <c r="B5" s="1" t="s">
        <v>20</v>
      </c>
      <c r="C5" s="1" t="s">
        <v>93</v>
      </c>
      <c r="D5" s="1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6813-D6FE-4D5F-B323-CA260179AA20}">
  <dimension ref="A1:C5"/>
  <sheetViews>
    <sheetView workbookViewId="0">
      <selection activeCell="C11" sqref="C11"/>
    </sheetView>
  </sheetViews>
  <sheetFormatPr baseColWidth="10" defaultRowHeight="14.4" x14ac:dyDescent="0.3"/>
  <cols>
    <col min="1" max="1" width="40.88671875" customWidth="1"/>
    <col min="2" max="2" width="27.21875" customWidth="1"/>
    <col min="3" max="3" width="44.5546875" customWidth="1"/>
  </cols>
  <sheetData>
    <row r="1" spans="1:3" ht="40.200000000000003" customHeight="1" x14ac:dyDescent="0.3">
      <c r="A1" s="1" t="s">
        <v>95</v>
      </c>
      <c r="B1" s="1" t="s">
        <v>96</v>
      </c>
      <c r="C1" s="1" t="s">
        <v>97</v>
      </c>
    </row>
    <row r="2" spans="1:3" x14ac:dyDescent="0.3">
      <c r="A2" s="1" t="s">
        <v>98</v>
      </c>
      <c r="B2" s="2">
        <v>7.0000000000000007E-2</v>
      </c>
      <c r="C2" s="1" t="s">
        <v>99</v>
      </c>
    </row>
    <row r="3" spans="1:3" x14ac:dyDescent="0.3">
      <c r="A3" s="1" t="s">
        <v>100</v>
      </c>
      <c r="B3" s="1" t="s">
        <v>101</v>
      </c>
      <c r="C3" s="1" t="s">
        <v>102</v>
      </c>
    </row>
    <row r="4" spans="1:3" x14ac:dyDescent="0.3">
      <c r="A4" s="1" t="s">
        <v>103</v>
      </c>
      <c r="B4" s="1" t="s">
        <v>104</v>
      </c>
      <c r="C4" s="1" t="s">
        <v>105</v>
      </c>
    </row>
    <row r="5" spans="1:3" x14ac:dyDescent="0.3">
      <c r="A5" s="1" t="s">
        <v>106</v>
      </c>
      <c r="B5" s="2">
        <v>0.03</v>
      </c>
      <c r="C5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historico 2 sedes</vt:lpstr>
      <vt:lpstr>resumen anual</vt:lpstr>
      <vt:lpstr>proyeccion</vt:lpstr>
      <vt:lpstr>estacionalidad</vt:lpstr>
      <vt:lpstr>eventos</vt:lpstr>
      <vt:lpstr>supuestos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Imagen Impresa</dc:creator>
  <cp:lastModifiedBy>Imagen Impresa</cp:lastModifiedBy>
  <dcterms:created xsi:type="dcterms:W3CDTF">2025-12-16T11:39:21Z</dcterms:created>
  <dcterms:modified xsi:type="dcterms:W3CDTF">2026-01-24T20:22:05Z</dcterms:modified>
</cp:coreProperties>
</file>